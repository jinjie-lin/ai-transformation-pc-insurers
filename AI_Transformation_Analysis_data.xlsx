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safak/Desktop/CODING DENEME/"/>
    </mc:Choice>
  </mc:AlternateContent>
  <xr:revisionPtr revIDLastSave="0" documentId="13_ncr:1_{149926AC-3583-C24D-BA05-9800B4C5E8A7}" xr6:coauthVersionLast="47" xr6:coauthVersionMax="47" xr10:uidLastSave="{00000000-0000-0000-0000-000000000000}"/>
  <bookViews>
    <workbookView xWindow="1760" yWindow="1220" windowWidth="27640" windowHeight="16660" firstSheet="1" activeTab="1" xr2:uid="{61362468-A718-9645-B379-F6A06DF273AC}"/>
  </bookViews>
  <sheets>
    <sheet name="Sheet1" sheetId="1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</calcChain>
</file>

<file path=xl/sharedStrings.xml><?xml version="1.0" encoding="utf-8"?>
<sst xmlns="http://schemas.openxmlformats.org/spreadsheetml/2006/main" count="877" uniqueCount="96">
  <si>
    <t>Company</t>
  </si>
  <si>
    <t>Year</t>
  </si>
  <si>
    <t>Tier</t>
  </si>
  <si>
    <t>Main Market</t>
  </si>
  <si>
    <t>Reporting Currency</t>
  </si>
  <si>
    <t>X1 Business Model</t>
  </si>
  <si>
    <t>X2 Operating Model</t>
  </si>
  <si>
    <t>P&amp;C GWP (million)</t>
  </si>
  <si>
    <t>P&amp;C Insurance Revenue (million)</t>
  </si>
  <si>
    <t>P&amp;C Operating Result (million)</t>
  </si>
  <si>
    <t>Combined Ratio</t>
  </si>
  <si>
    <t>Claims / Loss Ratio</t>
  </si>
  <si>
    <t>Expense Ratio</t>
  </si>
  <si>
    <t>P&amp;C Employee Count</t>
  </si>
  <si>
    <t>P&amp;C GWP per Employee (million)</t>
  </si>
  <si>
    <t>P&amp;C GWP Growth</t>
  </si>
  <si>
    <t>Group Total Assets (million)</t>
  </si>
  <si>
    <t>Group Equity (million)</t>
  </si>
  <si>
    <t>Allianz</t>
  </si>
  <si>
    <t>Tier A</t>
  </si>
  <si>
    <t>Germany / Munich</t>
  </si>
  <si>
    <t>EUR</t>
  </si>
  <si>
    <t>AXA</t>
  </si>
  <si>
    <t>France / Paris</t>
  </si>
  <si>
    <t>NaN</t>
  </si>
  <si>
    <t>Zurich Insurance Group</t>
  </si>
  <si>
    <t>Switzerland / Zurich</t>
  </si>
  <si>
    <t>USD</t>
  </si>
  <si>
    <t>Generali</t>
  </si>
  <si>
    <t>Italy / Trieste</t>
  </si>
  <si>
    <t>Aviva</t>
  </si>
  <si>
    <t>United Kingdom / London</t>
  </si>
  <si>
    <t>GBP</t>
  </si>
  <si>
    <t>MAPFRE</t>
  </si>
  <si>
    <t>Spain / Madrid</t>
  </si>
  <si>
    <t>Vienna Insurance Group (VIG)</t>
  </si>
  <si>
    <t>Austria / Vienna</t>
  </si>
  <si>
    <t>Unipol / Unipol Assicurazioni</t>
  </si>
  <si>
    <t>Italy / Bologna</t>
  </si>
  <si>
    <t>PZU</t>
  </si>
  <si>
    <t>Poland / Warsaw</t>
  </si>
  <si>
    <t>PLN</t>
  </si>
  <si>
    <t>UNIQA</t>
  </si>
  <si>
    <t>NN Group</t>
  </si>
  <si>
    <t>Netherlands / The Hague</t>
  </si>
  <si>
    <t>If P&amp;C Insurance</t>
  </si>
  <si>
    <t>Sweden / Solna; Sampo parent in Finland</t>
  </si>
  <si>
    <t>SEK</t>
  </si>
  <si>
    <t>Ageas</t>
  </si>
  <si>
    <t>Tier B</t>
  </si>
  <si>
    <t>Belgium / Brussels</t>
  </si>
  <si>
    <t>Achmea</t>
  </si>
  <si>
    <t>Netherlands / Zeist</t>
  </si>
  <si>
    <t>Baloise (legacy series)</t>
  </si>
  <si>
    <t>Switzerland / Basel</t>
  </si>
  <si>
    <t>CHF</t>
  </si>
  <si>
    <t>Groupama</t>
  </si>
  <si>
    <t>Helvetia (legacy series)</t>
  </si>
  <si>
    <t>Switzerland / St Gallen</t>
  </si>
  <si>
    <t>Gjensidige</t>
  </si>
  <si>
    <t>Norway / Oslo</t>
  </si>
  <si>
    <t>NOK</t>
  </si>
  <si>
    <t>Tryg</t>
  </si>
  <si>
    <t>Denmark / Ballerup</t>
  </si>
  <si>
    <t>DKK</t>
  </si>
  <si>
    <t>KBC Insurance</t>
  </si>
  <si>
    <t>Belgium / Leuven</t>
  </si>
  <si>
    <t>GCO (Grupo Catalana Occidente)</t>
  </si>
  <si>
    <t>Spain / Sant Cugat del Vallès</t>
  </si>
  <si>
    <t>Triglav Group</t>
  </si>
  <si>
    <t>Slovenia / Ljubljana</t>
  </si>
  <si>
    <t>R+V Allgemeine Versicherung AG</t>
  </si>
  <si>
    <t>Germany / Wiesbaden</t>
  </si>
  <si>
    <t>Admiral Group</t>
  </si>
  <si>
    <t>Tier C</t>
  </si>
  <si>
    <t>United Kingdom / Cardiff</t>
  </si>
  <si>
    <t>Beazley</t>
  </si>
  <si>
    <t>United Kingdom / London; incorporated in Jersey</t>
  </si>
  <si>
    <t>Hiscox</t>
  </si>
  <si>
    <t>Operational headquarters London; domiciled Bermuda</t>
  </si>
  <si>
    <t>Coface</t>
  </si>
  <si>
    <t>France / Bois-Colombes</t>
  </si>
  <si>
    <t>Línea Directa Aseguradora</t>
  </si>
  <si>
    <t>Alm. Brand Group</t>
  </si>
  <si>
    <t>Denmark / Copenhagen</t>
  </si>
  <si>
    <t>Protector Forsikring</t>
  </si>
  <si>
    <t>Intelligence Scalability</t>
  </si>
  <si>
    <t>Value-Proposition Shift</t>
  </si>
  <si>
    <t>Innovation Velocity</t>
  </si>
  <si>
    <t>Tech-Stack Completeness</t>
  </si>
  <si>
    <t>Distribution</t>
  </si>
  <si>
    <t>Underwriting</t>
  </si>
  <si>
    <t>Claims</t>
  </si>
  <si>
    <t>Policy Servicing</t>
  </si>
  <si>
    <t>Product Development</t>
  </si>
  <si>
    <t>Combined Adaption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</si>
</sst>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rlito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CE6F1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2" fontId="0" fillId="0" borderId="0" xfId="0" applyNumberFormat="1"/>
    <xf numFmtId="0" fontId="3" fillId="2" borderId="5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2" fontId="3" fillId="3" borderId="6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3" fillId="4" borderId="5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0" fontId="3" fillId="3" borderId="1" xfId="0" applyNumberFormat="1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2" fontId="3" fillId="3" borderId="6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center" wrapText="1"/>
    </xf>
    <xf numFmtId="2" fontId="3" fillId="3" borderId="8" xfId="0" applyNumberFormat="1" applyFont="1" applyFill="1" applyBorder="1" applyAlignment="1">
      <alignment horizontal="left" vertical="center" wrapText="1"/>
    </xf>
    <xf numFmtId="10" fontId="3" fillId="3" borderId="8" xfId="0" applyNumberFormat="1" applyFont="1" applyFill="1" applyBorder="1" applyAlignment="1">
      <alignment horizontal="left" vertical="center" wrapText="1"/>
    </xf>
    <xf numFmtId="2" fontId="3" fillId="3" borderId="9" xfId="0" applyNumberFormat="1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 wrapText="1"/>
    </xf>
    <xf numFmtId="164" fontId="1" fillId="5" borderId="10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0" fillId="6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2" borderId="0" xfId="0" applyFont="1" applyFill="1"/>
    <xf numFmtId="0" fontId="0" fillId="0" borderId="0" xfId="0" applyAlignment="1">
      <alignment horizontal="left"/>
    </xf>
    <xf numFmtId="0" fontId="3" fillId="2" borderId="11" xfId="0" applyFont="1" applyFill="1" applyBorder="1" applyAlignment="1">
      <alignment horizontal="left" vertical="top" wrapText="1"/>
    </xf>
    <xf numFmtId="164" fontId="0" fillId="0" borderId="11" xfId="0" applyNumberFormat="1" applyBorder="1" applyAlignment="1">
      <alignment horizontal="left"/>
    </xf>
    <xf numFmtId="164" fontId="3" fillId="4" borderId="11" xfId="0" applyNumberFormat="1" applyFont="1" applyFill="1" applyBorder="1" applyAlignment="1">
      <alignment horizontal="left" vertical="top" wrapText="1"/>
    </xf>
    <xf numFmtId="164" fontId="3" fillId="4" borderId="11" xfId="1" applyNumberFormat="1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常规 3" xfId="1" xr:uid="{D73EA8BC-C957-4DA9-9153-B63344C9D3BE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theme="0"/>
        </patternFill>
      </fill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rgb="FF000000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.0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CE6F1"/>
          <bgColor theme="0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00000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E0487-809F-2642-84B8-2EAEB220FF09}" name="Table1" displayName="Table1" ref="A1:R121" totalsRowShown="0" headerRowDxfId="22" dataDxfId="20" headerRowBorderDxfId="21" tableBorderDxfId="19" totalsRowBorderDxfId="18">
  <autoFilter ref="A1:R121" xr:uid="{02DE0487-809F-2642-84B8-2EAEB220FF09}"/>
  <tableColumns count="18">
    <tableColumn id="1" xr3:uid="{0DD9C465-C1FE-D548-BA17-D03F3E18283A}" name="Company" dataDxfId="17"/>
    <tableColumn id="2" xr3:uid="{20D538CF-1110-3B43-A773-5BB2C14640EF}" name="Year" dataDxfId="16"/>
    <tableColumn id="3" xr3:uid="{A8534339-85C5-5345-BA60-C92BC1640D21}" name="Tier" dataDxfId="15"/>
    <tableColumn id="4" xr3:uid="{DCFCED48-4F95-674B-B7B6-275665F410D2}" name="Main Market" dataDxfId="14"/>
    <tableColumn id="29" xr3:uid="{63AC575D-69D3-4242-8452-1EE46F4022E0}" name="Reporting Currency" dataDxfId="13"/>
    <tableColumn id="5" xr3:uid="{5422AD24-68F7-A747-9A89-A22A0AC295A2}" name="X1 Business Model" dataDxfId="12"/>
    <tableColumn id="6" xr3:uid="{43E63D3A-387D-3E40-87B6-5421B691B766}" name="X2 Operating Model" dataDxfId="11"/>
    <tableColumn id="8" xr3:uid="{A23730EA-3F24-D44D-94E8-8AED08B0F045}" name="P&amp;C GWP (million)" dataDxfId="10"/>
    <tableColumn id="9" xr3:uid="{3A5B1B77-D18C-BE49-A280-B946265C48B7}" name="P&amp;C Insurance Revenue (million)" dataDxfId="9"/>
    <tableColumn id="10" xr3:uid="{2D52D6FB-5045-B548-91BA-15C9B6D006BC}" name="P&amp;C Operating Result (million)" dataDxfId="8"/>
    <tableColumn id="11" xr3:uid="{FB6D4272-6AD9-C640-B447-FB81B1B2C188}" name="Combined Ratio" dataDxfId="7"/>
    <tableColumn id="12" xr3:uid="{DD86AEE4-DF26-6748-B436-B7B6116C4569}" name="Claims / Loss Ratio" dataDxfId="6"/>
    <tableColumn id="13" xr3:uid="{E0244726-78E1-8041-9485-77EDA2D4E083}" name="Expense Ratio" dataDxfId="5"/>
    <tableColumn id="19" xr3:uid="{9A45696F-E70A-EC4D-9BFF-CD85080A9ABE}" name="P&amp;C Employee Count" dataDxfId="4"/>
    <tableColumn id="20" xr3:uid="{6935359C-CFF9-6F4E-B487-D903B958289B}" name="P&amp;C GWP per Employee (million)" dataDxfId="3"/>
    <tableColumn id="21" xr3:uid="{397E72A1-16D5-974D-B3D6-385C3A3B6E14}" name="P&amp;C GWP Growth" dataDxfId="2"/>
    <tableColumn id="22" xr3:uid="{73E2644C-4D84-5C4B-9277-7CA84609370D}" name="Group Total Assets (million)" dataDxfId="1"/>
    <tableColumn id="23" xr3:uid="{73013153-59B5-D541-866B-6583BDCB3414}" name="Group Equity (million)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3114E5-A1F4-4F2F-B43D-1D4C1EAD0F6E}" name="Table2" displayName="Table2" ref="A1:P121" totalsRowShown="0" headerRowDxfId="41" dataDxfId="40" tableBorderDxfId="39">
  <autoFilter ref="A1:P121" xr:uid="{193114E5-A1F4-4F2F-B43D-1D4C1EAD0F6E}"/>
  <tableColumns count="16">
    <tableColumn id="1" xr3:uid="{9D77A041-14CF-4BD4-87D9-CAFA8361B958}" name="Company" dataDxfId="38"/>
    <tableColumn id="2" xr3:uid="{ACD58EC7-3DE5-41E0-9FB8-2660B14EE635}" name="Year" dataDxfId="37"/>
    <tableColumn id="3" xr3:uid="{BC42ECD4-7E4D-4F63-B434-73EF3CA4CB4A}" name="Tier" dataDxfId="36"/>
    <tableColumn id="4" xr3:uid="{1F95F2B5-E8AE-46EA-855E-0C6AF1039D2A}" name="Main Market" dataDxfId="35"/>
    <tableColumn id="9" xr3:uid="{70784DE1-8013-43F7-A687-AA0A66F5070A}" name="X1 Business Model" dataDxfId="34"/>
    <tableColumn id="10" xr3:uid="{B9A98D5A-7995-48A8-A8F8-AD5485378999}" name="X2 Operating Model" dataDxfId="33"/>
    <tableColumn id="20" xr3:uid="{C948E973-9BE1-42B7-85AA-6DF6ACB8E47F}" name="Combined Adaption" dataDxfId="32">
      <calculatedColumnFormula>SUM(Table2[[#This Row],[X1 Business Model]:[X2 Operating Model]])/2</calculatedColumnFormula>
    </tableColumn>
    <tableColumn id="5" xr3:uid="{523A6ED9-8F12-4D87-9C0D-F4B1EFE9DB20}" name="Intelligence Scalability" dataDxfId="31"/>
    <tableColumn id="6" xr3:uid="{4A02367E-18B8-481E-816F-1BF53110BFA3}" name="Value-Proposition Shift" dataDxfId="30"/>
    <tableColumn id="7" xr3:uid="{CF8C2009-6E49-4B37-BC4D-DB59056FDA92}" name="Innovation Velocity" dataDxfId="29"/>
    <tableColumn id="8" xr3:uid="{9003CD2F-0EC0-4792-A0F7-17E318438663}" name="Tech-Stack Completeness" dataDxfId="28"/>
    <tableColumn id="13" xr3:uid="{5A471926-3C46-4FA0-89E3-BC12202AD32F}" name="Distribution" dataDxfId="27"/>
    <tableColumn id="14" xr3:uid="{4CE637D6-B5D3-4712-A1C0-D9B395630688}" name="Underwriting" dataDxfId="26"/>
    <tableColumn id="15" xr3:uid="{0C050268-CA68-4A3C-AB7A-11874BEE76BF}" name="Claims" dataDxfId="25"/>
    <tableColumn id="16" xr3:uid="{2420BCBD-A8D0-4247-B822-98F44811134C}" name="Policy Servicing" dataDxfId="24"/>
    <tableColumn id="17" xr3:uid="{92BFA520-423F-49DC-9ED4-13538C571F6A}" name="Product Development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712F-00B5-4B4E-9DD3-E8E11F04DAA7}">
  <dimension ref="A1:R121"/>
  <sheetViews>
    <sheetView workbookViewId="0">
      <selection activeCell="A2" sqref="A2"/>
    </sheetView>
  </sheetViews>
  <sheetFormatPr baseColWidth="10" defaultColWidth="11" defaultRowHeight="16"/>
  <cols>
    <col min="1" max="1" width="30.33203125" customWidth="1"/>
    <col min="2" max="2" width="17.33203125" customWidth="1"/>
    <col min="3" max="3" width="17.83203125" customWidth="1"/>
    <col min="4" max="4" width="24.33203125" customWidth="1"/>
    <col min="5" max="5" width="17.83203125" customWidth="1"/>
    <col min="6" max="6" width="17.33203125" customWidth="1"/>
    <col min="7" max="7" width="17" style="1" customWidth="1"/>
    <col min="8" max="8" width="22.5" style="1" customWidth="1"/>
    <col min="9" max="10" width="20.5" customWidth="1"/>
    <col min="11" max="11" width="17.1640625" customWidth="1"/>
    <col min="12" max="12" width="20.5" customWidth="1"/>
    <col min="13" max="13" width="24.1640625" customWidth="1"/>
    <col min="14" max="14" width="20.83203125" customWidth="1"/>
    <col min="15" max="15" width="22.6640625" style="1" customWidth="1"/>
    <col min="16" max="16" width="19.83203125" style="1" customWidth="1"/>
    <col min="17" max="17" width="18.6640625" customWidth="1"/>
    <col min="18" max="18" width="17.1640625" customWidth="1"/>
  </cols>
  <sheetData>
    <row r="1" spans="1:18" s="30" customFormat="1" ht="30" customHeigh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4" t="s">
        <v>8</v>
      </c>
      <c r="J1" s="24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4" t="s">
        <v>16</v>
      </c>
      <c r="R1" s="25" t="s">
        <v>17</v>
      </c>
    </row>
    <row r="2" spans="1:18" s="8" customFormat="1" ht="30" customHeight="1">
      <c r="A2" s="2" t="s">
        <v>18</v>
      </c>
      <c r="B2" s="3">
        <v>2022</v>
      </c>
      <c r="C2" s="3" t="s">
        <v>19</v>
      </c>
      <c r="D2" s="3" t="s">
        <v>20</v>
      </c>
      <c r="E2" s="4" t="s">
        <v>21</v>
      </c>
      <c r="F2" s="3">
        <v>0</v>
      </c>
      <c r="G2" s="3">
        <v>0</v>
      </c>
      <c r="H2" s="5">
        <v>68222</v>
      </c>
      <c r="I2" s="5">
        <v>63963</v>
      </c>
      <c r="J2" s="5">
        <v>6827</v>
      </c>
      <c r="K2" s="6">
        <v>0.93300000000000005</v>
      </c>
      <c r="L2" s="6">
        <v>0.68400000000000005</v>
      </c>
      <c r="M2" s="6">
        <v>0.249</v>
      </c>
      <c r="N2" s="4">
        <v>117098.7</v>
      </c>
      <c r="O2" s="4">
        <v>0.58299999999999996</v>
      </c>
      <c r="P2" s="6">
        <v>0.13200000000000001</v>
      </c>
      <c r="Q2" s="5">
        <v>935897</v>
      </c>
      <c r="R2" s="7">
        <v>58735</v>
      </c>
    </row>
    <row r="3" spans="1:18" s="8" customFormat="1" ht="30" customHeight="1">
      <c r="A3" s="9" t="s">
        <v>18</v>
      </c>
      <c r="B3" s="10">
        <v>2023</v>
      </c>
      <c r="C3" s="10" t="s">
        <v>19</v>
      </c>
      <c r="D3" s="10" t="s">
        <v>20</v>
      </c>
      <c r="E3" s="4" t="s">
        <v>21</v>
      </c>
      <c r="F3" s="10">
        <v>0.25</v>
      </c>
      <c r="G3" s="10">
        <v>0.1</v>
      </c>
      <c r="H3" s="5">
        <v>73998</v>
      </c>
      <c r="I3" s="5">
        <v>68757</v>
      </c>
      <c r="J3" s="5">
        <v>6909</v>
      </c>
      <c r="K3" s="6">
        <v>0.93799999999999994</v>
      </c>
      <c r="L3" s="6">
        <v>0.69299999999999995</v>
      </c>
      <c r="M3" s="6">
        <v>0.246</v>
      </c>
      <c r="N3" s="4">
        <v>116688.5</v>
      </c>
      <c r="O3" s="4">
        <v>0.63400000000000001</v>
      </c>
      <c r="P3" s="6">
        <v>8.5000000000000006E-2</v>
      </c>
      <c r="Q3" s="5">
        <v>983174</v>
      </c>
      <c r="R3" s="7">
        <v>63580</v>
      </c>
    </row>
    <row r="4" spans="1:18" s="8" customFormat="1" ht="30" customHeight="1">
      <c r="A4" s="2" t="s">
        <v>18</v>
      </c>
      <c r="B4" s="3">
        <v>2024</v>
      </c>
      <c r="C4" s="3" t="s">
        <v>19</v>
      </c>
      <c r="D4" s="3" t="s">
        <v>20</v>
      </c>
      <c r="E4" s="4" t="s">
        <v>21</v>
      </c>
      <c r="F4" s="3">
        <v>0.5</v>
      </c>
      <c r="G4" s="3">
        <v>0.2</v>
      </c>
      <c r="H4" s="5">
        <v>80230</v>
      </c>
      <c r="I4" s="5">
        <v>74619</v>
      </c>
      <c r="J4" s="5">
        <v>7898</v>
      </c>
      <c r="K4" s="6">
        <v>0.93400000000000005</v>
      </c>
      <c r="L4" s="6">
        <v>0.69299999999999995</v>
      </c>
      <c r="M4" s="6">
        <v>0.24199999999999999</v>
      </c>
      <c r="N4" s="4">
        <v>117904.9</v>
      </c>
      <c r="O4" s="4">
        <v>0.68</v>
      </c>
      <c r="P4" s="6">
        <v>8.4000000000000005E-2</v>
      </c>
      <c r="Q4" s="5">
        <v>1044578</v>
      </c>
      <c r="R4" s="7">
        <v>64076</v>
      </c>
    </row>
    <row r="5" spans="1:18" s="8" customFormat="1" ht="30" customHeight="1">
      <c r="A5" s="9" t="s">
        <v>18</v>
      </c>
      <c r="B5" s="10">
        <v>2025</v>
      </c>
      <c r="C5" s="10" t="s">
        <v>19</v>
      </c>
      <c r="D5" s="10" t="s">
        <v>20</v>
      </c>
      <c r="E5" s="4" t="s">
        <v>21</v>
      </c>
      <c r="F5" s="10">
        <v>0.75</v>
      </c>
      <c r="G5" s="10">
        <v>0.4</v>
      </c>
      <c r="H5" s="5">
        <v>84077</v>
      </c>
      <c r="I5" s="5">
        <v>78164</v>
      </c>
      <c r="J5" s="5">
        <v>8992</v>
      </c>
      <c r="K5" s="6">
        <v>0.92200000000000004</v>
      </c>
      <c r="L5" s="6">
        <v>0.68300000000000005</v>
      </c>
      <c r="M5" s="6">
        <v>0.23899999999999999</v>
      </c>
      <c r="N5" s="4">
        <v>118645.9</v>
      </c>
      <c r="O5" s="4">
        <v>0.70899999999999996</v>
      </c>
      <c r="P5" s="6">
        <v>4.8000000000000001E-2</v>
      </c>
      <c r="Q5" s="5">
        <v>1024276</v>
      </c>
      <c r="R5" s="7">
        <v>66349</v>
      </c>
    </row>
    <row r="6" spans="1:18" s="8" customFormat="1" ht="30" customHeight="1">
      <c r="A6" s="2" t="s">
        <v>22</v>
      </c>
      <c r="B6" s="3">
        <v>2022</v>
      </c>
      <c r="C6" s="3" t="s">
        <v>19</v>
      </c>
      <c r="D6" s="3" t="s">
        <v>23</v>
      </c>
      <c r="E6" s="4" t="s">
        <v>21</v>
      </c>
      <c r="F6" s="3">
        <v>0.25</v>
      </c>
      <c r="G6" s="3">
        <v>0.1</v>
      </c>
      <c r="H6" s="5">
        <v>50633</v>
      </c>
      <c r="I6" s="5">
        <v>50798</v>
      </c>
      <c r="J6" s="5">
        <v>2931</v>
      </c>
      <c r="K6" s="6">
        <v>0.97599999999999998</v>
      </c>
      <c r="L6" s="6">
        <v>0.73199999999999998</v>
      </c>
      <c r="M6" s="11">
        <v>0.24399999999999999</v>
      </c>
      <c r="N6" s="4">
        <v>72079.5</v>
      </c>
      <c r="O6" s="4">
        <v>0.70199999999999996</v>
      </c>
      <c r="P6" s="6">
        <v>2.5999999999999999E-2</v>
      </c>
      <c r="Q6" s="12">
        <v>697000</v>
      </c>
      <c r="R6" s="13">
        <v>46072</v>
      </c>
    </row>
    <row r="7" spans="1:18" s="8" customFormat="1" ht="30" customHeight="1">
      <c r="A7" s="9" t="s">
        <v>22</v>
      </c>
      <c r="B7" s="10">
        <v>2023</v>
      </c>
      <c r="C7" s="10" t="s">
        <v>19</v>
      </c>
      <c r="D7" s="10" t="s">
        <v>23</v>
      </c>
      <c r="E7" s="4" t="s">
        <v>21</v>
      </c>
      <c r="F7" s="10">
        <v>0.375</v>
      </c>
      <c r="G7" s="10">
        <v>0.4</v>
      </c>
      <c r="H7" s="5">
        <v>53027</v>
      </c>
      <c r="I7" s="5">
        <v>52326</v>
      </c>
      <c r="J7" s="5">
        <v>5012</v>
      </c>
      <c r="K7" s="6">
        <v>0.93200000000000005</v>
      </c>
      <c r="L7" s="6">
        <v>0.68500000000000005</v>
      </c>
      <c r="M7" s="6">
        <v>0.247</v>
      </c>
      <c r="N7" s="4">
        <v>75866.7</v>
      </c>
      <c r="O7" s="4">
        <v>0.69899999999999995</v>
      </c>
      <c r="P7" s="6">
        <v>4.7E-2</v>
      </c>
      <c r="Q7" s="5">
        <v>644000</v>
      </c>
      <c r="R7" s="7">
        <v>49579</v>
      </c>
    </row>
    <row r="8" spans="1:18" s="8" customFormat="1" ht="30" customHeight="1">
      <c r="A8" s="2" t="s">
        <v>22</v>
      </c>
      <c r="B8" s="3">
        <v>2024</v>
      </c>
      <c r="C8" s="3" t="s">
        <v>19</v>
      </c>
      <c r="D8" s="3" t="s">
        <v>23</v>
      </c>
      <c r="E8" s="4" t="s">
        <v>21</v>
      </c>
      <c r="F8" s="3">
        <v>0.5</v>
      </c>
      <c r="G8" s="3">
        <v>0.5</v>
      </c>
      <c r="H8" s="5">
        <v>56514</v>
      </c>
      <c r="I8" s="5">
        <v>55898</v>
      </c>
      <c r="J8" s="5">
        <v>5510</v>
      </c>
      <c r="K8" s="6">
        <v>0.91</v>
      </c>
      <c r="L8" s="6">
        <v>0.66</v>
      </c>
      <c r="M8" s="6">
        <v>0.25</v>
      </c>
      <c r="N8" s="4">
        <v>78894.2</v>
      </c>
      <c r="O8" s="4">
        <v>0.71599999999999997</v>
      </c>
      <c r="P8" s="6">
        <v>6.6000000000000003E-2</v>
      </c>
      <c r="Q8" s="5">
        <v>653760</v>
      </c>
      <c r="R8" s="13">
        <v>49943</v>
      </c>
    </row>
    <row r="9" spans="1:18" s="8" customFormat="1" ht="30" customHeight="1">
      <c r="A9" s="9" t="s">
        <v>22</v>
      </c>
      <c r="B9" s="10">
        <v>2025</v>
      </c>
      <c r="C9" s="10" t="s">
        <v>19</v>
      </c>
      <c r="D9" s="10" t="s">
        <v>23</v>
      </c>
      <c r="E9" s="4" t="s">
        <v>21</v>
      </c>
      <c r="F9" s="10">
        <v>0.5</v>
      </c>
      <c r="G9" s="10">
        <v>0.5</v>
      </c>
      <c r="H9" s="5">
        <v>58038</v>
      </c>
      <c r="I9" s="5">
        <v>57390</v>
      </c>
      <c r="J9" s="5">
        <v>5872</v>
      </c>
      <c r="K9" s="6">
        <v>0.90600000000000003</v>
      </c>
      <c r="L9" s="6">
        <v>0.65800000000000003</v>
      </c>
      <c r="M9" s="6">
        <v>0.248</v>
      </c>
      <c r="N9" s="4">
        <v>78374.399999999994</v>
      </c>
      <c r="O9" s="4">
        <v>0.74099999999999999</v>
      </c>
      <c r="P9" s="6">
        <v>2.7E-2</v>
      </c>
      <c r="Q9" s="5" t="s">
        <v>24</v>
      </c>
      <c r="R9" s="13">
        <v>47200</v>
      </c>
    </row>
    <row r="10" spans="1:18" s="8" customFormat="1" ht="30" customHeight="1">
      <c r="A10" s="2" t="s">
        <v>25</v>
      </c>
      <c r="B10" s="3">
        <v>2022</v>
      </c>
      <c r="C10" s="3" t="s">
        <v>19</v>
      </c>
      <c r="D10" s="3" t="s">
        <v>26</v>
      </c>
      <c r="E10" s="4" t="s">
        <v>27</v>
      </c>
      <c r="F10" s="3">
        <v>0.375</v>
      </c>
      <c r="G10" s="3">
        <v>0.2</v>
      </c>
      <c r="H10" s="5">
        <v>41435</v>
      </c>
      <c r="I10" s="5">
        <v>39164</v>
      </c>
      <c r="J10" s="5">
        <v>3634</v>
      </c>
      <c r="K10" s="6">
        <v>0.94499999999999995</v>
      </c>
      <c r="L10" s="6">
        <v>0.67200000000000004</v>
      </c>
      <c r="M10" s="6">
        <v>0.27300000000000002</v>
      </c>
      <c r="N10" s="4">
        <v>46987.7</v>
      </c>
      <c r="O10" s="4">
        <v>0.88200000000000001</v>
      </c>
      <c r="P10" s="6">
        <v>3.3000000000000002E-2</v>
      </c>
      <c r="Q10" s="5">
        <v>309583</v>
      </c>
      <c r="R10" s="7">
        <v>26930</v>
      </c>
    </row>
    <row r="11" spans="1:18" s="8" customFormat="1" ht="30" customHeight="1">
      <c r="A11" s="9" t="s">
        <v>25</v>
      </c>
      <c r="B11" s="10">
        <v>2023</v>
      </c>
      <c r="C11" s="10" t="s">
        <v>19</v>
      </c>
      <c r="D11" s="10" t="s">
        <v>26</v>
      </c>
      <c r="E11" s="4" t="s">
        <v>27</v>
      </c>
      <c r="F11" s="10">
        <v>0.5</v>
      </c>
      <c r="G11" s="10">
        <v>0.2</v>
      </c>
      <c r="H11" s="5">
        <v>44401</v>
      </c>
      <c r="I11" s="5">
        <v>42293</v>
      </c>
      <c r="J11" s="5">
        <v>3893</v>
      </c>
      <c r="K11" s="6">
        <v>0.94499999999999995</v>
      </c>
      <c r="L11" s="6">
        <v>0.66200000000000003</v>
      </c>
      <c r="M11" s="6">
        <v>0.28299999999999997</v>
      </c>
      <c r="N11" s="4">
        <v>46038.400000000001</v>
      </c>
      <c r="O11" s="4">
        <v>0.96399999999999997</v>
      </c>
      <c r="P11" s="6">
        <v>7.1999999999999995E-2</v>
      </c>
      <c r="Q11" s="5">
        <v>361382</v>
      </c>
      <c r="R11" s="7">
        <v>26280</v>
      </c>
    </row>
    <row r="12" spans="1:18" s="8" customFormat="1" ht="30" customHeight="1">
      <c r="A12" s="2" t="s">
        <v>25</v>
      </c>
      <c r="B12" s="3">
        <v>2024</v>
      </c>
      <c r="C12" s="3" t="s">
        <v>19</v>
      </c>
      <c r="D12" s="3" t="s">
        <v>26</v>
      </c>
      <c r="E12" s="4" t="s">
        <v>27</v>
      </c>
      <c r="F12" s="3">
        <v>0.5</v>
      </c>
      <c r="G12" s="3">
        <v>0.2</v>
      </c>
      <c r="H12" s="5">
        <v>46624</v>
      </c>
      <c r="I12" s="5">
        <v>44792</v>
      </c>
      <c r="J12" s="5">
        <v>4204</v>
      </c>
      <c r="K12" s="6">
        <v>0.94199999999999995</v>
      </c>
      <c r="L12" s="6">
        <v>0.65600000000000003</v>
      </c>
      <c r="M12" s="6">
        <v>0.28599999999999998</v>
      </c>
      <c r="N12" s="4">
        <v>48053.9</v>
      </c>
      <c r="O12" s="4">
        <v>0.97</v>
      </c>
      <c r="P12" s="6">
        <v>0.05</v>
      </c>
      <c r="Q12" s="5">
        <v>358005</v>
      </c>
      <c r="R12" s="7">
        <v>26938</v>
      </c>
    </row>
    <row r="13" spans="1:18" s="8" customFormat="1" ht="30" customHeight="1">
      <c r="A13" s="9" t="s">
        <v>25</v>
      </c>
      <c r="B13" s="10">
        <v>2025</v>
      </c>
      <c r="C13" s="10" t="s">
        <v>19</v>
      </c>
      <c r="D13" s="10" t="s">
        <v>26</v>
      </c>
      <c r="E13" s="4" t="s">
        <v>27</v>
      </c>
      <c r="F13" s="10">
        <v>0.875</v>
      </c>
      <c r="G13" s="10">
        <v>0.2</v>
      </c>
      <c r="H13" s="5">
        <v>50422</v>
      </c>
      <c r="I13" s="5">
        <v>48234</v>
      </c>
      <c r="J13" s="5">
        <v>5129</v>
      </c>
      <c r="K13" s="6">
        <v>0.92600000000000005</v>
      </c>
      <c r="L13" s="6">
        <v>0.627</v>
      </c>
      <c r="M13" s="6">
        <v>0.29899999999999999</v>
      </c>
      <c r="N13" s="4">
        <v>50144.4</v>
      </c>
      <c r="O13" s="4">
        <v>1.006</v>
      </c>
      <c r="P13" s="6">
        <v>8.1000000000000003E-2</v>
      </c>
      <c r="Q13" s="5">
        <v>407211</v>
      </c>
      <c r="R13" s="7">
        <v>30166</v>
      </c>
    </row>
    <row r="14" spans="1:18" s="8" customFormat="1" ht="30" customHeight="1">
      <c r="A14" s="2" t="s">
        <v>28</v>
      </c>
      <c r="B14" s="3">
        <v>2022</v>
      </c>
      <c r="C14" s="3" t="s">
        <v>19</v>
      </c>
      <c r="D14" s="3" t="s">
        <v>29</v>
      </c>
      <c r="E14" s="4" t="s">
        <v>21</v>
      </c>
      <c r="F14" s="3">
        <v>0</v>
      </c>
      <c r="G14" s="3">
        <v>0</v>
      </c>
      <c r="H14" s="5">
        <v>28454</v>
      </c>
      <c r="I14" s="5">
        <v>28141</v>
      </c>
      <c r="J14" s="5">
        <v>2507</v>
      </c>
      <c r="K14" s="6">
        <v>0.95399999999999996</v>
      </c>
      <c r="L14" s="6">
        <v>0.66900000000000004</v>
      </c>
      <c r="M14" s="6">
        <v>0.28499999999999998</v>
      </c>
      <c r="N14" s="4">
        <v>51156.800000000003</v>
      </c>
      <c r="O14" s="4">
        <v>0.55600000000000005</v>
      </c>
      <c r="P14" s="6">
        <v>0.17899999999999999</v>
      </c>
      <c r="Q14" s="5">
        <v>503236</v>
      </c>
      <c r="R14" s="7">
        <v>28973</v>
      </c>
    </row>
    <row r="15" spans="1:18" s="8" customFormat="1" ht="30" customHeight="1">
      <c r="A15" s="9" t="s">
        <v>28</v>
      </c>
      <c r="B15" s="10">
        <v>2023</v>
      </c>
      <c r="C15" s="10" t="s">
        <v>19</v>
      </c>
      <c r="D15" s="10" t="s">
        <v>29</v>
      </c>
      <c r="E15" s="4" t="s">
        <v>21</v>
      </c>
      <c r="F15" s="10">
        <v>0.125</v>
      </c>
      <c r="G15" s="10">
        <v>0</v>
      </c>
      <c r="H15" s="5">
        <v>31120</v>
      </c>
      <c r="I15" s="5">
        <v>30207</v>
      </c>
      <c r="J15" s="5">
        <v>2902</v>
      </c>
      <c r="K15" s="6">
        <v>0.94</v>
      </c>
      <c r="L15" s="6">
        <v>0.64900000000000002</v>
      </c>
      <c r="M15" s="6">
        <v>0.29199999999999998</v>
      </c>
      <c r="N15" s="4">
        <v>49970.8</v>
      </c>
      <c r="O15" s="4">
        <v>0.623</v>
      </c>
      <c r="P15" s="6">
        <v>9.4E-2</v>
      </c>
      <c r="Q15" s="5">
        <v>508611</v>
      </c>
      <c r="R15" s="7">
        <v>31284</v>
      </c>
    </row>
    <row r="16" spans="1:18" s="8" customFormat="1" ht="30" customHeight="1">
      <c r="A16" s="2" t="s">
        <v>28</v>
      </c>
      <c r="B16" s="3">
        <v>2024</v>
      </c>
      <c r="C16" s="3" t="s">
        <v>19</v>
      </c>
      <c r="D16" s="3" t="s">
        <v>29</v>
      </c>
      <c r="E16" s="4" t="s">
        <v>21</v>
      </c>
      <c r="F16" s="3">
        <v>0.5</v>
      </c>
      <c r="G16" s="3">
        <v>0.2</v>
      </c>
      <c r="H16" s="5">
        <v>33756</v>
      </c>
      <c r="I16" s="5">
        <v>32936</v>
      </c>
      <c r="J16" s="5">
        <v>3052</v>
      </c>
      <c r="K16" s="6">
        <v>0.94</v>
      </c>
      <c r="L16" s="6">
        <v>0.65200000000000002</v>
      </c>
      <c r="M16" s="6">
        <v>0.28799999999999998</v>
      </c>
      <c r="N16" s="4">
        <v>52805.4</v>
      </c>
      <c r="O16" s="4">
        <v>0.63900000000000001</v>
      </c>
      <c r="P16" s="6">
        <v>8.5000000000000006E-2</v>
      </c>
      <c r="Q16" s="5">
        <v>538647</v>
      </c>
      <c r="R16" s="7">
        <v>33096</v>
      </c>
    </row>
    <row r="17" spans="1:18" s="8" customFormat="1" ht="30" customHeight="1">
      <c r="A17" s="9" t="s">
        <v>28</v>
      </c>
      <c r="B17" s="10">
        <v>2025</v>
      </c>
      <c r="C17" s="10" t="s">
        <v>19</v>
      </c>
      <c r="D17" s="10" t="s">
        <v>29</v>
      </c>
      <c r="E17" s="4" t="s">
        <v>21</v>
      </c>
      <c r="F17" s="10">
        <v>0.5</v>
      </c>
      <c r="G17" s="10">
        <v>0.2</v>
      </c>
      <c r="H17" s="5">
        <v>36181</v>
      </c>
      <c r="I17" s="5">
        <v>35246</v>
      </c>
      <c r="J17" s="5">
        <v>3663</v>
      </c>
      <c r="K17" s="6">
        <v>0.92600000000000005</v>
      </c>
      <c r="L17" s="6">
        <v>0.63200000000000001</v>
      </c>
      <c r="M17" s="6">
        <v>0.29399999999999998</v>
      </c>
      <c r="N17" s="4">
        <v>55155.6</v>
      </c>
      <c r="O17" s="4">
        <v>0.65600000000000003</v>
      </c>
      <c r="P17" s="6">
        <v>7.1999999999999995E-2</v>
      </c>
      <c r="Q17" s="5">
        <v>558529</v>
      </c>
      <c r="R17" s="7">
        <v>34788</v>
      </c>
    </row>
    <row r="18" spans="1:18" s="8" customFormat="1" ht="30" customHeight="1">
      <c r="A18" s="2" t="s">
        <v>30</v>
      </c>
      <c r="B18" s="3">
        <v>2022</v>
      </c>
      <c r="C18" s="3" t="s">
        <v>19</v>
      </c>
      <c r="D18" s="3" t="s">
        <v>31</v>
      </c>
      <c r="E18" s="4" t="s">
        <v>32</v>
      </c>
      <c r="F18" s="3">
        <v>0.25</v>
      </c>
      <c r="G18" s="3">
        <v>0</v>
      </c>
      <c r="H18" s="5">
        <v>9749</v>
      </c>
      <c r="I18" s="5">
        <v>9491</v>
      </c>
      <c r="J18" s="5">
        <v>630</v>
      </c>
      <c r="K18" s="6">
        <v>0.94299999999999995</v>
      </c>
      <c r="L18" s="6">
        <v>0.61199999999999999</v>
      </c>
      <c r="M18" s="6">
        <v>0.13</v>
      </c>
      <c r="N18" s="4">
        <v>13320</v>
      </c>
      <c r="O18" s="4">
        <v>0.73199999999999998</v>
      </c>
      <c r="P18" s="6">
        <v>0.107</v>
      </c>
      <c r="Q18" s="5">
        <v>309583</v>
      </c>
      <c r="R18" s="7">
        <v>10214</v>
      </c>
    </row>
    <row r="19" spans="1:18" s="8" customFormat="1" ht="30" customHeight="1">
      <c r="A19" s="9" t="s">
        <v>30</v>
      </c>
      <c r="B19" s="10">
        <v>2023</v>
      </c>
      <c r="C19" s="10" t="s">
        <v>19</v>
      </c>
      <c r="D19" s="10" t="s">
        <v>31</v>
      </c>
      <c r="E19" s="4" t="s">
        <v>32</v>
      </c>
      <c r="F19" s="10">
        <v>0.25</v>
      </c>
      <c r="G19" s="10">
        <v>0</v>
      </c>
      <c r="H19" s="5">
        <v>10888</v>
      </c>
      <c r="I19" s="5">
        <v>10289</v>
      </c>
      <c r="J19" s="5">
        <v>851</v>
      </c>
      <c r="K19" s="6">
        <v>0.92700000000000005</v>
      </c>
      <c r="L19" s="6">
        <v>0.60499999999999998</v>
      </c>
      <c r="M19" s="6">
        <v>0.122</v>
      </c>
      <c r="N19" s="4">
        <v>14201.8</v>
      </c>
      <c r="O19" s="4">
        <v>0.76700000000000002</v>
      </c>
      <c r="P19" s="6">
        <v>0.11700000000000001</v>
      </c>
      <c r="Q19" s="5">
        <v>328843</v>
      </c>
      <c r="R19" s="7">
        <v>9600</v>
      </c>
    </row>
    <row r="20" spans="1:18" s="8" customFormat="1" ht="30" customHeight="1">
      <c r="A20" s="2" t="s">
        <v>30</v>
      </c>
      <c r="B20" s="3">
        <v>2024</v>
      </c>
      <c r="C20" s="3" t="s">
        <v>19</v>
      </c>
      <c r="D20" s="3" t="s">
        <v>31</v>
      </c>
      <c r="E20" s="4" t="s">
        <v>32</v>
      </c>
      <c r="F20" s="3">
        <v>0.625</v>
      </c>
      <c r="G20" s="3">
        <v>0.2</v>
      </c>
      <c r="H20" s="5">
        <v>12204</v>
      </c>
      <c r="I20" s="5">
        <v>11714</v>
      </c>
      <c r="J20" s="5">
        <v>996</v>
      </c>
      <c r="K20" s="6">
        <v>0.92200000000000004</v>
      </c>
      <c r="L20" s="6">
        <v>0.60299999999999998</v>
      </c>
      <c r="M20" s="6">
        <v>0.126</v>
      </c>
      <c r="N20" s="4">
        <v>15737.1</v>
      </c>
      <c r="O20" s="4">
        <v>0.77500000000000002</v>
      </c>
      <c r="P20" s="6">
        <v>0.121</v>
      </c>
      <c r="Q20" s="5">
        <v>353883</v>
      </c>
      <c r="R20" s="7">
        <v>8621</v>
      </c>
    </row>
    <row r="21" spans="1:18" s="8" customFormat="1" ht="30" customHeight="1">
      <c r="A21" s="9" t="s">
        <v>30</v>
      </c>
      <c r="B21" s="10">
        <v>2025</v>
      </c>
      <c r="C21" s="10" t="s">
        <v>19</v>
      </c>
      <c r="D21" s="10" t="s">
        <v>31</v>
      </c>
      <c r="E21" s="4" t="s">
        <v>32</v>
      </c>
      <c r="F21" s="10">
        <v>0.75</v>
      </c>
      <c r="G21" s="10">
        <v>0.3</v>
      </c>
      <c r="H21" s="5">
        <v>14145</v>
      </c>
      <c r="I21" s="5">
        <v>15467</v>
      </c>
      <c r="J21" s="5">
        <v>1485</v>
      </c>
      <c r="K21" s="6">
        <v>0.90600000000000003</v>
      </c>
      <c r="L21" s="6">
        <v>0.58199999999999996</v>
      </c>
      <c r="M21" s="6">
        <v>0.14599999999999999</v>
      </c>
      <c r="N21" s="4">
        <v>20958.2</v>
      </c>
      <c r="O21" s="4">
        <v>0.67500000000000004</v>
      </c>
      <c r="P21" s="6">
        <v>0.159</v>
      </c>
      <c r="Q21" s="5">
        <v>395304</v>
      </c>
      <c r="R21" s="7">
        <v>11089</v>
      </c>
    </row>
    <row r="22" spans="1:18" s="8" customFormat="1" ht="30" customHeight="1">
      <c r="A22" s="2" t="s">
        <v>33</v>
      </c>
      <c r="B22" s="3">
        <v>2022</v>
      </c>
      <c r="C22" s="3" t="s">
        <v>19</v>
      </c>
      <c r="D22" s="3" t="s">
        <v>34</v>
      </c>
      <c r="E22" s="4" t="s">
        <v>21</v>
      </c>
      <c r="F22" s="3">
        <v>0.25</v>
      </c>
      <c r="G22" s="3">
        <v>0.3</v>
      </c>
      <c r="H22" s="5">
        <v>19340</v>
      </c>
      <c r="I22" s="5">
        <v>18770</v>
      </c>
      <c r="J22" s="5">
        <v>223</v>
      </c>
      <c r="K22" s="6">
        <v>0.96499999999999997</v>
      </c>
      <c r="L22" s="6">
        <v>0.70599999999999996</v>
      </c>
      <c r="M22" s="6">
        <v>0.27400000000000002</v>
      </c>
      <c r="N22" s="4">
        <v>25851.8</v>
      </c>
      <c r="O22" s="4">
        <v>0.748</v>
      </c>
      <c r="P22" s="6">
        <v>0.12</v>
      </c>
      <c r="Q22" s="5">
        <v>52197</v>
      </c>
      <c r="R22" s="7">
        <v>8870</v>
      </c>
    </row>
    <row r="23" spans="1:18" s="8" customFormat="1" ht="30" customHeight="1">
      <c r="A23" s="9" t="s">
        <v>33</v>
      </c>
      <c r="B23" s="10">
        <v>2023</v>
      </c>
      <c r="C23" s="10" t="s">
        <v>19</v>
      </c>
      <c r="D23" s="10" t="s">
        <v>34</v>
      </c>
      <c r="E23" s="4" t="s">
        <v>21</v>
      </c>
      <c r="F23" s="10">
        <v>0.375</v>
      </c>
      <c r="G23" s="10">
        <v>0.4</v>
      </c>
      <c r="H23" s="5">
        <v>20961.099999999999</v>
      </c>
      <c r="I23" s="5">
        <v>20478.099999999999</v>
      </c>
      <c r="J23" s="5">
        <v>1313.8</v>
      </c>
      <c r="K23" s="6">
        <v>0.96499999999999997</v>
      </c>
      <c r="L23" s="6">
        <v>0.68899999999999995</v>
      </c>
      <c r="M23" s="6">
        <v>0.27600000000000002</v>
      </c>
      <c r="N23" s="4">
        <v>25513.4</v>
      </c>
      <c r="O23" s="4">
        <v>0.82199999999999995</v>
      </c>
      <c r="P23" s="6">
        <v>8.4000000000000005E-2</v>
      </c>
      <c r="Q23" s="5">
        <v>54947</v>
      </c>
      <c r="R23" s="7">
        <v>9656.2999999999993</v>
      </c>
    </row>
    <row r="24" spans="1:18" s="8" customFormat="1" ht="30" customHeight="1">
      <c r="A24" s="2" t="s">
        <v>33</v>
      </c>
      <c r="B24" s="3">
        <v>2024</v>
      </c>
      <c r="C24" s="3" t="s">
        <v>19</v>
      </c>
      <c r="D24" s="3" t="s">
        <v>34</v>
      </c>
      <c r="E24" s="4" t="s">
        <v>21</v>
      </c>
      <c r="F24" s="3">
        <v>0.5</v>
      </c>
      <c r="G24" s="3">
        <v>0.6</v>
      </c>
      <c r="H24" s="5">
        <v>22137</v>
      </c>
      <c r="I24" s="5">
        <v>21410</v>
      </c>
      <c r="J24" s="5">
        <v>644</v>
      </c>
      <c r="K24" s="6">
        <v>0.93</v>
      </c>
      <c r="L24" s="6">
        <v>0.66</v>
      </c>
      <c r="M24" s="6">
        <v>0.26900000000000002</v>
      </c>
      <c r="N24" s="4">
        <v>25666.9</v>
      </c>
      <c r="O24" s="4">
        <v>0.86199999999999999</v>
      </c>
      <c r="P24" s="6">
        <v>5.6000000000000001E-2</v>
      </c>
      <c r="Q24" s="5">
        <v>56707</v>
      </c>
      <c r="R24" s="7">
        <v>9985.5</v>
      </c>
    </row>
    <row r="25" spans="1:18" s="8" customFormat="1" ht="30" customHeight="1">
      <c r="A25" s="9" t="s">
        <v>33</v>
      </c>
      <c r="B25" s="10">
        <v>2025</v>
      </c>
      <c r="C25" s="10" t="s">
        <v>19</v>
      </c>
      <c r="D25" s="10" t="s">
        <v>34</v>
      </c>
      <c r="E25" s="4" t="s">
        <v>21</v>
      </c>
      <c r="F25" s="10">
        <v>0.5</v>
      </c>
      <c r="G25" s="10">
        <v>0.8</v>
      </c>
      <c r="H25" s="5">
        <v>22465.7</v>
      </c>
      <c r="I25" s="5">
        <v>21966</v>
      </c>
      <c r="J25" s="5">
        <v>969</v>
      </c>
      <c r="K25" s="6">
        <v>0.90200000000000002</v>
      </c>
      <c r="L25" s="6">
        <v>0.628</v>
      </c>
      <c r="M25" s="6">
        <v>0.27400000000000002</v>
      </c>
      <c r="N25" s="4">
        <v>25713.200000000001</v>
      </c>
      <c r="O25" s="4">
        <v>0.874</v>
      </c>
      <c r="P25" s="6">
        <v>1.4999999999999999E-2</v>
      </c>
      <c r="Q25" s="5">
        <v>58512.7</v>
      </c>
      <c r="R25" s="7">
        <v>10514.3</v>
      </c>
    </row>
    <row r="26" spans="1:18" s="8" customFormat="1" ht="30" customHeight="1">
      <c r="A26" s="2" t="s">
        <v>35</v>
      </c>
      <c r="B26" s="3">
        <v>2022</v>
      </c>
      <c r="C26" s="3" t="s">
        <v>19</v>
      </c>
      <c r="D26" s="3" t="s">
        <v>36</v>
      </c>
      <c r="E26" s="4" t="s">
        <v>21</v>
      </c>
      <c r="F26" s="3">
        <v>0.25</v>
      </c>
      <c r="G26" s="3">
        <v>0.2</v>
      </c>
      <c r="H26" s="12">
        <v>9675.2999999999993</v>
      </c>
      <c r="I26" s="5">
        <v>6551.2</v>
      </c>
      <c r="J26" s="12">
        <v>472.7</v>
      </c>
      <c r="K26" s="11">
        <v>0.92800000000000005</v>
      </c>
      <c r="L26" s="6">
        <v>0.61499999999999999</v>
      </c>
      <c r="M26" s="11">
        <v>0.313</v>
      </c>
      <c r="N26" s="4">
        <v>19403.900000000001</v>
      </c>
      <c r="O26" s="4">
        <v>0.499</v>
      </c>
      <c r="P26" s="11">
        <v>0.17699999999999999</v>
      </c>
      <c r="Q26" s="12">
        <v>47217.7</v>
      </c>
      <c r="R26" s="13">
        <v>5713.9</v>
      </c>
    </row>
    <row r="27" spans="1:18" s="8" customFormat="1" ht="30" customHeight="1">
      <c r="A27" s="9" t="s">
        <v>35</v>
      </c>
      <c r="B27" s="10">
        <v>2023</v>
      </c>
      <c r="C27" s="10" t="s">
        <v>19</v>
      </c>
      <c r="D27" s="10" t="s">
        <v>36</v>
      </c>
      <c r="E27" s="14" t="s">
        <v>21</v>
      </c>
      <c r="F27" s="10">
        <v>0.5</v>
      </c>
      <c r="G27" s="10">
        <v>0.4</v>
      </c>
      <c r="H27" s="5">
        <v>10869.8</v>
      </c>
      <c r="I27" s="12">
        <v>7582.2</v>
      </c>
      <c r="J27" s="5">
        <v>564.20000000000005</v>
      </c>
      <c r="K27" s="6">
        <v>0.92600000000000005</v>
      </c>
      <c r="L27" s="6">
        <v>0.621</v>
      </c>
      <c r="M27" s="6">
        <v>0.30399999999999999</v>
      </c>
      <c r="N27" s="4">
        <v>20407.099999999999</v>
      </c>
      <c r="O27" s="4">
        <v>0.53300000000000003</v>
      </c>
      <c r="P27" s="11">
        <v>0.123</v>
      </c>
      <c r="Q27" s="12">
        <v>48753.8</v>
      </c>
      <c r="R27" s="13">
        <v>6029.7</v>
      </c>
    </row>
    <row r="28" spans="1:18" s="8" customFormat="1" ht="30" customHeight="1">
      <c r="A28" s="2" t="s">
        <v>35</v>
      </c>
      <c r="B28" s="3">
        <v>2024</v>
      </c>
      <c r="C28" s="3" t="s">
        <v>19</v>
      </c>
      <c r="D28" s="3" t="s">
        <v>36</v>
      </c>
      <c r="E28" s="14" t="s">
        <v>21</v>
      </c>
      <c r="F28" s="3">
        <v>0.75</v>
      </c>
      <c r="G28" s="3">
        <v>0.6</v>
      </c>
      <c r="H28" s="12">
        <v>12051</v>
      </c>
      <c r="I28" s="12">
        <v>8494.7999999999993</v>
      </c>
      <c r="J28" s="12">
        <v>563.20000000000005</v>
      </c>
      <c r="K28" s="6">
        <v>0.93400000000000005</v>
      </c>
      <c r="L28" s="6">
        <v>0.627</v>
      </c>
      <c r="M28" s="11">
        <v>0.30599999999999999</v>
      </c>
      <c r="N28" s="4">
        <v>22150.1</v>
      </c>
      <c r="O28" s="4">
        <v>0.54400000000000004</v>
      </c>
      <c r="P28" s="6">
        <v>0.109</v>
      </c>
      <c r="Q28" s="12">
        <v>51242.06</v>
      </c>
      <c r="R28" s="13">
        <v>6558.9350000000004</v>
      </c>
    </row>
    <row r="29" spans="1:18" s="8" customFormat="1" ht="30" customHeight="1">
      <c r="A29" s="9" t="s">
        <v>35</v>
      </c>
      <c r="B29" s="10">
        <v>2025</v>
      </c>
      <c r="C29" s="10" t="s">
        <v>19</v>
      </c>
      <c r="D29" s="10" t="s">
        <v>36</v>
      </c>
      <c r="E29" s="14" t="s">
        <v>21</v>
      </c>
      <c r="F29" s="10">
        <v>0.75</v>
      </c>
      <c r="G29" s="10">
        <v>0.6</v>
      </c>
      <c r="H29" s="5">
        <v>12724.7</v>
      </c>
      <c r="I29" s="5">
        <v>9288.7999999999993</v>
      </c>
      <c r="J29" s="12">
        <v>924</v>
      </c>
      <c r="K29" s="6">
        <v>0.90100000000000002</v>
      </c>
      <c r="L29" s="6">
        <v>0.59699999999999998</v>
      </c>
      <c r="M29" s="11">
        <v>0.30399999999999999</v>
      </c>
      <c r="N29" s="4">
        <v>23428.400000000001</v>
      </c>
      <c r="O29" s="4">
        <v>0.54300000000000004</v>
      </c>
      <c r="P29" s="6">
        <v>5.6000000000000001E-2</v>
      </c>
      <c r="Q29" s="12">
        <v>54315.635999999999</v>
      </c>
      <c r="R29" s="13">
        <v>7331.3630000000003</v>
      </c>
    </row>
    <row r="30" spans="1:18" s="8" customFormat="1" ht="30" customHeight="1">
      <c r="A30" s="2" t="s">
        <v>37</v>
      </c>
      <c r="B30" s="3">
        <v>2022</v>
      </c>
      <c r="C30" s="3" t="s">
        <v>19</v>
      </c>
      <c r="D30" s="3" t="s">
        <v>38</v>
      </c>
      <c r="E30" s="4" t="s">
        <v>21</v>
      </c>
      <c r="F30" s="3">
        <v>0.625</v>
      </c>
      <c r="G30" s="3">
        <v>0.1</v>
      </c>
      <c r="H30" s="5">
        <v>8502</v>
      </c>
      <c r="I30" s="5">
        <v>8000</v>
      </c>
      <c r="J30" s="5">
        <v>731</v>
      </c>
      <c r="K30" s="6">
        <v>0.93799999999999994</v>
      </c>
      <c r="L30" s="6">
        <v>0.65200000000000002</v>
      </c>
      <c r="M30" s="6">
        <v>0.28699999999999998</v>
      </c>
      <c r="N30" s="4">
        <v>4773.6000000000004</v>
      </c>
      <c r="O30" s="4">
        <v>1.7809999999999999</v>
      </c>
      <c r="P30" s="6">
        <v>3.4000000000000002E-2</v>
      </c>
      <c r="Q30" s="5">
        <v>73025</v>
      </c>
      <c r="R30" s="7">
        <v>8578</v>
      </c>
    </row>
    <row r="31" spans="1:18" s="8" customFormat="1" ht="30" customHeight="1">
      <c r="A31" s="9" t="s">
        <v>37</v>
      </c>
      <c r="B31" s="10">
        <v>2023</v>
      </c>
      <c r="C31" s="10" t="s">
        <v>19</v>
      </c>
      <c r="D31" s="10" t="s">
        <v>38</v>
      </c>
      <c r="E31" s="4" t="s">
        <v>21</v>
      </c>
      <c r="F31" s="10">
        <v>0.625</v>
      </c>
      <c r="G31" s="10">
        <v>0.1</v>
      </c>
      <c r="H31" s="5">
        <v>8796</v>
      </c>
      <c r="I31" s="5">
        <v>8947</v>
      </c>
      <c r="J31" s="5">
        <v>896</v>
      </c>
      <c r="K31" s="6">
        <v>0.98199999999999998</v>
      </c>
      <c r="L31" s="6">
        <v>0.71499999999999997</v>
      </c>
      <c r="M31" s="6">
        <v>0.26700000000000002</v>
      </c>
      <c r="N31" s="4">
        <v>4971.5</v>
      </c>
      <c r="O31" s="4">
        <v>1.7689999999999999</v>
      </c>
      <c r="P31" s="6">
        <v>3.5000000000000003E-2</v>
      </c>
      <c r="Q31" s="5">
        <v>79458</v>
      </c>
      <c r="R31" s="7">
        <v>9799</v>
      </c>
    </row>
    <row r="32" spans="1:18" s="8" customFormat="1" ht="30" customHeight="1">
      <c r="A32" s="2" t="s">
        <v>37</v>
      </c>
      <c r="B32" s="3">
        <v>2024</v>
      </c>
      <c r="C32" s="3" t="s">
        <v>19</v>
      </c>
      <c r="D32" s="3" t="s">
        <v>38</v>
      </c>
      <c r="E32" s="4" t="s">
        <v>21</v>
      </c>
      <c r="F32" s="3">
        <v>0.875</v>
      </c>
      <c r="G32" s="3">
        <v>0.1</v>
      </c>
      <c r="H32" s="5">
        <v>9238</v>
      </c>
      <c r="I32" s="5">
        <v>9112</v>
      </c>
      <c r="J32" s="5">
        <v>537</v>
      </c>
      <c r="K32" s="6">
        <v>0.93600000000000005</v>
      </c>
      <c r="L32" s="6">
        <v>0.67600000000000005</v>
      </c>
      <c r="M32" s="6">
        <v>0.26</v>
      </c>
      <c r="N32" s="4">
        <v>5203.8</v>
      </c>
      <c r="O32" s="4">
        <v>1.7749999999999999</v>
      </c>
      <c r="P32" s="6">
        <v>0.05</v>
      </c>
      <c r="Q32" s="5">
        <v>83425</v>
      </c>
      <c r="R32" s="7">
        <v>9628</v>
      </c>
    </row>
    <row r="33" spans="1:18" s="8" customFormat="1" ht="30" customHeight="1">
      <c r="A33" s="9" t="s">
        <v>37</v>
      </c>
      <c r="B33" s="10">
        <v>2025</v>
      </c>
      <c r="C33" s="10" t="s">
        <v>19</v>
      </c>
      <c r="D33" s="10" t="s">
        <v>38</v>
      </c>
      <c r="E33" s="4" t="s">
        <v>21</v>
      </c>
      <c r="F33" s="10">
        <v>0.875</v>
      </c>
      <c r="G33" s="10">
        <v>0.2</v>
      </c>
      <c r="H33" s="5">
        <v>9648</v>
      </c>
      <c r="I33" s="5">
        <v>9294</v>
      </c>
      <c r="J33" s="5">
        <v>926</v>
      </c>
      <c r="K33" s="6">
        <v>0.92900000000000005</v>
      </c>
      <c r="L33" s="6">
        <v>0.65200000000000002</v>
      </c>
      <c r="M33" s="6">
        <v>0.27800000000000002</v>
      </c>
      <c r="N33" s="4">
        <v>4717</v>
      </c>
      <c r="O33" s="4">
        <v>2.0449999999999999</v>
      </c>
      <c r="P33" s="6">
        <v>4.3999999999999997E-2</v>
      </c>
      <c r="Q33" s="5">
        <v>90416</v>
      </c>
      <c r="R33" s="7">
        <v>10715</v>
      </c>
    </row>
    <row r="34" spans="1:18" s="8" customFormat="1" ht="30" customHeight="1">
      <c r="A34" s="2" t="s">
        <v>39</v>
      </c>
      <c r="B34" s="3">
        <v>2022</v>
      </c>
      <c r="C34" s="3" t="s">
        <v>19</v>
      </c>
      <c r="D34" s="3" t="s">
        <v>40</v>
      </c>
      <c r="E34" s="4" t="s">
        <v>41</v>
      </c>
      <c r="F34" s="3">
        <v>0.25</v>
      </c>
      <c r="G34" s="3">
        <v>0.1</v>
      </c>
      <c r="H34" s="5">
        <v>17798.716</v>
      </c>
      <c r="I34" s="5">
        <v>16666</v>
      </c>
      <c r="J34" s="5">
        <v>2521</v>
      </c>
      <c r="K34" s="6">
        <v>0.86499999999999999</v>
      </c>
      <c r="L34" s="6">
        <v>0.56899999999999995</v>
      </c>
      <c r="M34" s="6">
        <v>0.29099999999999998</v>
      </c>
      <c r="N34" s="4">
        <v>25780.9</v>
      </c>
      <c r="O34" s="4">
        <v>0.69</v>
      </c>
      <c r="P34" s="6">
        <v>0.113</v>
      </c>
      <c r="Q34" s="12">
        <v>429205</v>
      </c>
      <c r="R34" s="13">
        <v>48431</v>
      </c>
    </row>
    <row r="35" spans="1:18" s="8" customFormat="1" ht="30" customHeight="1">
      <c r="A35" s="9" t="s">
        <v>39</v>
      </c>
      <c r="B35" s="10">
        <v>2023</v>
      </c>
      <c r="C35" s="10" t="s">
        <v>19</v>
      </c>
      <c r="D35" s="10" t="s">
        <v>40</v>
      </c>
      <c r="E35" s="4" t="s">
        <v>41</v>
      </c>
      <c r="F35" s="10">
        <v>0.25</v>
      </c>
      <c r="G35" s="10">
        <v>0.1</v>
      </c>
      <c r="H35" s="5">
        <v>19354.98</v>
      </c>
      <c r="I35" s="5">
        <v>18697</v>
      </c>
      <c r="J35" s="5">
        <v>2902</v>
      </c>
      <c r="K35" s="6">
        <v>0.86</v>
      </c>
      <c r="L35" s="6">
        <v>0.55800000000000005</v>
      </c>
      <c r="M35" s="6">
        <v>0.29499999999999998</v>
      </c>
      <c r="N35" s="4">
        <v>26957.8</v>
      </c>
      <c r="O35" s="4">
        <v>0.71799999999999997</v>
      </c>
      <c r="P35" s="6">
        <v>8.6999999999999994E-2</v>
      </c>
      <c r="Q35" s="12">
        <v>467945</v>
      </c>
      <c r="R35" s="13">
        <v>60552</v>
      </c>
    </row>
    <row r="36" spans="1:18" s="8" customFormat="1" ht="30" customHeight="1">
      <c r="A36" s="2" t="s">
        <v>39</v>
      </c>
      <c r="B36" s="3">
        <v>2024</v>
      </c>
      <c r="C36" s="3" t="s">
        <v>19</v>
      </c>
      <c r="D36" s="3" t="s">
        <v>40</v>
      </c>
      <c r="E36" s="4" t="s">
        <v>41</v>
      </c>
      <c r="F36" s="3">
        <v>0.5</v>
      </c>
      <c r="G36" s="3">
        <v>0.1</v>
      </c>
      <c r="H36" s="5">
        <v>21274.131000000001</v>
      </c>
      <c r="I36" s="5">
        <v>20662</v>
      </c>
      <c r="J36" s="5">
        <v>1925</v>
      </c>
      <c r="K36" s="6">
        <v>0.91900000000000004</v>
      </c>
      <c r="L36" s="6">
        <v>0.625</v>
      </c>
      <c r="M36" s="6">
        <v>0.29899999999999999</v>
      </c>
      <c r="N36" s="4">
        <v>27529</v>
      </c>
      <c r="O36" s="4">
        <v>0.77300000000000002</v>
      </c>
      <c r="P36" s="6">
        <v>9.9000000000000005E-2</v>
      </c>
      <c r="Q36" s="12">
        <v>503257</v>
      </c>
      <c r="R36" s="13">
        <v>65257</v>
      </c>
    </row>
    <row r="37" spans="1:18" s="8" customFormat="1" ht="30" customHeight="1">
      <c r="A37" s="9" t="s">
        <v>39</v>
      </c>
      <c r="B37" s="10">
        <v>2025</v>
      </c>
      <c r="C37" s="10" t="s">
        <v>19</v>
      </c>
      <c r="D37" s="10" t="s">
        <v>40</v>
      </c>
      <c r="E37" s="4" t="s">
        <v>41</v>
      </c>
      <c r="F37" s="10">
        <v>0.5</v>
      </c>
      <c r="G37" s="10">
        <v>0.1</v>
      </c>
      <c r="H37" s="5">
        <v>21816.169000000002</v>
      </c>
      <c r="I37" s="5">
        <v>21918</v>
      </c>
      <c r="J37" s="5">
        <v>3075</v>
      </c>
      <c r="K37" s="6">
        <v>0.86299999999999999</v>
      </c>
      <c r="L37" s="6">
        <v>0.57599999999999996</v>
      </c>
      <c r="M37" s="6">
        <v>0.28599999999999998</v>
      </c>
      <c r="N37" s="4">
        <v>27433.5</v>
      </c>
      <c r="O37" s="4">
        <v>0.79500000000000004</v>
      </c>
      <c r="P37" s="6">
        <v>2.5000000000000001E-2</v>
      </c>
      <c r="Q37" s="12">
        <v>535483</v>
      </c>
      <c r="R37" s="13">
        <v>72653</v>
      </c>
    </row>
    <row r="38" spans="1:18" s="8" customFormat="1" ht="30" customHeight="1">
      <c r="A38" s="2" t="s">
        <v>42</v>
      </c>
      <c r="B38" s="3">
        <v>2022</v>
      </c>
      <c r="C38" s="3" t="s">
        <v>19</v>
      </c>
      <c r="D38" s="3" t="s">
        <v>36</v>
      </c>
      <c r="E38" s="4" t="s">
        <v>21</v>
      </c>
      <c r="F38" s="3">
        <v>0.375</v>
      </c>
      <c r="G38" s="3">
        <v>0.1</v>
      </c>
      <c r="H38" s="5">
        <v>3683</v>
      </c>
      <c r="I38" s="5">
        <v>3547.8</v>
      </c>
      <c r="J38" s="5">
        <v>255.9</v>
      </c>
      <c r="K38" s="6">
        <v>0.91700000000000004</v>
      </c>
      <c r="L38" s="6">
        <v>0.59199999999999997</v>
      </c>
      <c r="M38" s="6">
        <v>0.32500000000000001</v>
      </c>
      <c r="N38" s="4">
        <v>9630.7000000000007</v>
      </c>
      <c r="O38" s="4">
        <v>0.38200000000000001</v>
      </c>
      <c r="P38" s="6">
        <v>5.6000000000000001E-2</v>
      </c>
      <c r="Q38" s="5">
        <v>26641.1</v>
      </c>
      <c r="R38" s="7">
        <v>1901</v>
      </c>
    </row>
    <row r="39" spans="1:18" s="8" customFormat="1" ht="30" customHeight="1">
      <c r="A39" s="9" t="s">
        <v>42</v>
      </c>
      <c r="B39" s="10">
        <v>2023</v>
      </c>
      <c r="C39" s="10" t="s">
        <v>19</v>
      </c>
      <c r="D39" s="10" t="s">
        <v>36</v>
      </c>
      <c r="E39" s="4" t="s">
        <v>21</v>
      </c>
      <c r="F39" s="10">
        <v>0.75</v>
      </c>
      <c r="G39" s="10">
        <v>0.2</v>
      </c>
      <c r="H39" s="5">
        <v>4214.3</v>
      </c>
      <c r="I39" s="5">
        <v>4006.3</v>
      </c>
      <c r="J39" s="5">
        <v>287.5</v>
      </c>
      <c r="K39" s="6">
        <v>0.89400000000000002</v>
      </c>
      <c r="L39" s="6">
        <v>0.57499999999999996</v>
      </c>
      <c r="M39" s="6">
        <v>0.31900000000000001</v>
      </c>
      <c r="N39" s="4">
        <v>9772</v>
      </c>
      <c r="O39" s="4">
        <v>0.43099999999999999</v>
      </c>
      <c r="P39" s="6">
        <v>0.14399999999999999</v>
      </c>
      <c r="Q39" s="5">
        <v>28151</v>
      </c>
      <c r="R39" s="7">
        <v>2730.1</v>
      </c>
    </row>
    <row r="40" spans="1:18" s="8" customFormat="1" ht="30" customHeight="1">
      <c r="A40" s="2" t="s">
        <v>42</v>
      </c>
      <c r="B40" s="3">
        <v>2024</v>
      </c>
      <c r="C40" s="3" t="s">
        <v>19</v>
      </c>
      <c r="D40" s="3" t="s">
        <v>36</v>
      </c>
      <c r="E40" s="4" t="s">
        <v>21</v>
      </c>
      <c r="F40" s="3">
        <v>0.75</v>
      </c>
      <c r="G40" s="3">
        <v>0.2</v>
      </c>
      <c r="H40" s="5">
        <v>4678.3</v>
      </c>
      <c r="I40" s="5">
        <v>4421.8</v>
      </c>
      <c r="J40" s="5">
        <v>306.2</v>
      </c>
      <c r="K40" s="6">
        <v>0.91100000000000003</v>
      </c>
      <c r="L40" s="6">
        <v>0.59499999999999997</v>
      </c>
      <c r="M40" s="6">
        <v>0.316</v>
      </c>
      <c r="N40" s="4">
        <v>10202.799999999999</v>
      </c>
      <c r="O40" s="4">
        <v>0.45900000000000002</v>
      </c>
      <c r="P40" s="6">
        <v>0.11</v>
      </c>
      <c r="Q40" s="5">
        <v>28532.1</v>
      </c>
      <c r="R40" s="7">
        <v>2941.4</v>
      </c>
    </row>
    <row r="41" spans="1:18" s="8" customFormat="1" ht="30" customHeight="1">
      <c r="A41" s="9" t="s">
        <v>42</v>
      </c>
      <c r="B41" s="10">
        <v>2025</v>
      </c>
      <c r="C41" s="10" t="s">
        <v>19</v>
      </c>
      <c r="D41" s="10" t="s">
        <v>36</v>
      </c>
      <c r="E41" s="4" t="s">
        <v>21</v>
      </c>
      <c r="F41" s="10">
        <v>0.75</v>
      </c>
      <c r="G41" s="10">
        <v>0.3</v>
      </c>
      <c r="H41" s="5">
        <v>5044.7</v>
      </c>
      <c r="I41" s="5">
        <v>4774.6000000000004</v>
      </c>
      <c r="J41" s="5">
        <v>396.3</v>
      </c>
      <c r="K41" s="6">
        <v>0.89200000000000002</v>
      </c>
      <c r="L41" s="6">
        <v>0.57399999999999995</v>
      </c>
      <c r="M41" s="6">
        <v>0.318</v>
      </c>
      <c r="N41" s="4">
        <v>10037.5</v>
      </c>
      <c r="O41" s="4">
        <v>0.503</v>
      </c>
      <c r="P41" s="6">
        <v>7.8E-2</v>
      </c>
      <c r="Q41" s="5">
        <v>29047.9</v>
      </c>
      <c r="R41" s="7">
        <v>3164.8</v>
      </c>
    </row>
    <row r="42" spans="1:18" s="8" customFormat="1" ht="30" customHeight="1">
      <c r="A42" s="2" t="s">
        <v>43</v>
      </c>
      <c r="B42" s="3">
        <v>2022</v>
      </c>
      <c r="C42" s="3" t="s">
        <v>19</v>
      </c>
      <c r="D42" s="3" t="s">
        <v>44</v>
      </c>
      <c r="E42" s="4" t="s">
        <v>21</v>
      </c>
      <c r="F42" s="3">
        <v>0</v>
      </c>
      <c r="G42" s="3">
        <v>0</v>
      </c>
      <c r="H42" s="5">
        <v>3774</v>
      </c>
      <c r="I42" s="5">
        <v>3837</v>
      </c>
      <c r="J42" s="5">
        <v>400</v>
      </c>
      <c r="K42" s="6">
        <v>0.92300000000000004</v>
      </c>
      <c r="L42" s="6">
        <v>0.63900000000000001</v>
      </c>
      <c r="M42" s="6">
        <v>0.28399999999999997</v>
      </c>
      <c r="N42" s="4">
        <v>4407</v>
      </c>
      <c r="O42" s="4">
        <v>0.85599999999999998</v>
      </c>
      <c r="P42" s="6">
        <v>6.0000000000000001E-3</v>
      </c>
      <c r="Q42" s="5">
        <v>207024</v>
      </c>
      <c r="R42" s="7">
        <v>21101</v>
      </c>
    </row>
    <row r="43" spans="1:18" s="8" customFormat="1" ht="30" customHeight="1">
      <c r="A43" s="9" t="s">
        <v>43</v>
      </c>
      <c r="B43" s="10">
        <v>2023</v>
      </c>
      <c r="C43" s="10" t="s">
        <v>19</v>
      </c>
      <c r="D43" s="10" t="s">
        <v>44</v>
      </c>
      <c r="E43" s="4" t="s">
        <v>21</v>
      </c>
      <c r="F43" s="10">
        <v>0.25</v>
      </c>
      <c r="G43" s="10">
        <v>0</v>
      </c>
      <c r="H43" s="5">
        <v>3843</v>
      </c>
      <c r="I43" s="5">
        <v>3843</v>
      </c>
      <c r="J43" s="5">
        <v>364</v>
      </c>
      <c r="K43" s="6">
        <v>0.92600000000000005</v>
      </c>
      <c r="L43" s="6">
        <v>0.64600000000000002</v>
      </c>
      <c r="M43" s="6">
        <v>0.27900000000000003</v>
      </c>
      <c r="N43" s="4">
        <v>4394</v>
      </c>
      <c r="O43" s="4">
        <v>0.875</v>
      </c>
      <c r="P43" s="6">
        <v>1.7999999999999999E-2</v>
      </c>
      <c r="Q43" s="5">
        <v>208941</v>
      </c>
      <c r="R43" s="7">
        <v>21119</v>
      </c>
    </row>
    <row r="44" spans="1:18" s="8" customFormat="1" ht="30" customHeight="1">
      <c r="A44" s="2" t="s">
        <v>43</v>
      </c>
      <c r="B44" s="3">
        <v>2024</v>
      </c>
      <c r="C44" s="3" t="s">
        <v>19</v>
      </c>
      <c r="D44" s="3" t="s">
        <v>44</v>
      </c>
      <c r="E44" s="4" t="s">
        <v>21</v>
      </c>
      <c r="F44" s="3">
        <v>0.25</v>
      </c>
      <c r="G44" s="3">
        <v>0</v>
      </c>
      <c r="H44" s="5">
        <v>3956</v>
      </c>
      <c r="I44" s="5">
        <v>3952</v>
      </c>
      <c r="J44" s="5">
        <v>364</v>
      </c>
      <c r="K44" s="6">
        <v>0.93100000000000005</v>
      </c>
      <c r="L44" s="6">
        <v>0.65400000000000003</v>
      </c>
      <c r="M44" s="6">
        <v>0.27700000000000002</v>
      </c>
      <c r="N44" s="4">
        <v>4082</v>
      </c>
      <c r="O44" s="4">
        <v>0.96899999999999997</v>
      </c>
      <c r="P44" s="6">
        <v>2.9000000000000001E-2</v>
      </c>
      <c r="Q44" s="5">
        <v>210375</v>
      </c>
      <c r="R44" s="7">
        <v>21652</v>
      </c>
    </row>
    <row r="45" spans="1:18" s="8" customFormat="1" ht="30" customHeight="1">
      <c r="A45" s="9" t="s">
        <v>43</v>
      </c>
      <c r="B45" s="10">
        <v>2025</v>
      </c>
      <c r="C45" s="10" t="s">
        <v>19</v>
      </c>
      <c r="D45" s="10" t="s">
        <v>44</v>
      </c>
      <c r="E45" s="4" t="s">
        <v>21</v>
      </c>
      <c r="F45" s="10">
        <v>0.75</v>
      </c>
      <c r="G45" s="10">
        <v>0.2</v>
      </c>
      <c r="H45" s="5">
        <v>4190</v>
      </c>
      <c r="I45" s="5">
        <v>4165</v>
      </c>
      <c r="J45" s="5">
        <v>393</v>
      </c>
      <c r="K45" s="6">
        <v>0.92900000000000005</v>
      </c>
      <c r="L45" s="6">
        <v>0.65800000000000003</v>
      </c>
      <c r="M45" s="6">
        <v>0.27100000000000002</v>
      </c>
      <c r="N45" s="4">
        <v>3913</v>
      </c>
      <c r="O45" s="4">
        <v>1.071</v>
      </c>
      <c r="P45" s="6">
        <v>5.8999999999999997E-2</v>
      </c>
      <c r="Q45" s="5">
        <v>204912</v>
      </c>
      <c r="R45" s="7">
        <v>21155</v>
      </c>
    </row>
    <row r="46" spans="1:18" s="8" customFormat="1" ht="30" customHeight="1">
      <c r="A46" s="2" t="s">
        <v>45</v>
      </c>
      <c r="B46" s="3">
        <v>2022</v>
      </c>
      <c r="C46" s="3" t="s">
        <v>19</v>
      </c>
      <c r="D46" s="3" t="s">
        <v>46</v>
      </c>
      <c r="E46" s="4" t="s">
        <v>47</v>
      </c>
      <c r="F46" s="3">
        <v>0</v>
      </c>
      <c r="G46" s="3">
        <v>0</v>
      </c>
      <c r="H46" s="5">
        <v>57732</v>
      </c>
      <c r="I46" s="5">
        <v>56570</v>
      </c>
      <c r="J46" s="5">
        <v>7152</v>
      </c>
      <c r="K46" s="6">
        <v>0.86599999999999999</v>
      </c>
      <c r="L46" s="6">
        <v>0.70699999999999996</v>
      </c>
      <c r="M46" s="6">
        <v>0.159</v>
      </c>
      <c r="N46" s="4">
        <v>7496</v>
      </c>
      <c r="O46" s="4">
        <v>7.702</v>
      </c>
      <c r="P46" s="6">
        <v>0.108</v>
      </c>
      <c r="Q46" s="5">
        <v>131345</v>
      </c>
      <c r="R46" s="7">
        <v>38937</v>
      </c>
    </row>
    <row r="47" spans="1:18" s="8" customFormat="1" ht="30" customHeight="1">
      <c r="A47" s="9" t="s">
        <v>45</v>
      </c>
      <c r="B47" s="10">
        <v>2023</v>
      </c>
      <c r="C47" s="10" t="s">
        <v>19</v>
      </c>
      <c r="D47" s="10" t="s">
        <v>46</v>
      </c>
      <c r="E47" s="4" t="s">
        <v>47</v>
      </c>
      <c r="F47" s="10">
        <v>0</v>
      </c>
      <c r="G47" s="10">
        <v>0</v>
      </c>
      <c r="H47" s="5">
        <v>62743</v>
      </c>
      <c r="I47" s="5">
        <v>61158</v>
      </c>
      <c r="J47" s="5">
        <v>9664</v>
      </c>
      <c r="K47" s="6">
        <v>0.83099999999999996</v>
      </c>
      <c r="L47" s="6">
        <v>0.67600000000000005</v>
      </c>
      <c r="M47" s="6">
        <v>0.156</v>
      </c>
      <c r="N47" s="4">
        <v>7857</v>
      </c>
      <c r="O47" s="4">
        <v>7.9859999999999998</v>
      </c>
      <c r="P47" s="6">
        <v>8.6999999999999994E-2</v>
      </c>
      <c r="Q47" s="5">
        <v>139001</v>
      </c>
      <c r="R47" s="7">
        <v>42587</v>
      </c>
    </row>
    <row r="48" spans="1:18" s="8" customFormat="1" ht="30" customHeight="1">
      <c r="A48" s="2" t="s">
        <v>45</v>
      </c>
      <c r="B48" s="3">
        <v>2024</v>
      </c>
      <c r="C48" s="3" t="s">
        <v>19</v>
      </c>
      <c r="D48" s="3" t="s">
        <v>46</v>
      </c>
      <c r="E48" s="4" t="s">
        <v>47</v>
      </c>
      <c r="F48" s="3">
        <v>0.25</v>
      </c>
      <c r="G48" s="3">
        <v>0.3</v>
      </c>
      <c r="H48" s="5">
        <v>69719</v>
      </c>
      <c r="I48" s="5">
        <v>68045</v>
      </c>
      <c r="J48" s="5">
        <v>10694</v>
      </c>
      <c r="K48" s="6">
        <v>0.83</v>
      </c>
      <c r="L48" s="6">
        <v>0.67300000000000004</v>
      </c>
      <c r="M48" s="6">
        <v>0.157</v>
      </c>
      <c r="N48" s="4">
        <v>8462</v>
      </c>
      <c r="O48" s="4">
        <v>8.2390000000000008</v>
      </c>
      <c r="P48" s="6">
        <v>0.111</v>
      </c>
      <c r="Q48" s="5">
        <v>189585</v>
      </c>
      <c r="R48" s="7">
        <v>43512</v>
      </c>
    </row>
    <row r="49" spans="1:18" s="8" customFormat="1" ht="30" customHeight="1">
      <c r="A49" s="9" t="s">
        <v>45</v>
      </c>
      <c r="B49" s="10">
        <v>2025</v>
      </c>
      <c r="C49" s="10" t="s">
        <v>19</v>
      </c>
      <c r="D49" s="10" t="s">
        <v>46</v>
      </c>
      <c r="E49" s="4" t="s">
        <v>47</v>
      </c>
      <c r="F49" s="10">
        <v>0.25</v>
      </c>
      <c r="G49" s="10">
        <v>0.4</v>
      </c>
      <c r="H49" s="5">
        <v>87718</v>
      </c>
      <c r="I49" s="5">
        <v>85251</v>
      </c>
      <c r="J49" s="5">
        <v>14048</v>
      </c>
      <c r="K49" s="6">
        <v>0.82099999999999995</v>
      </c>
      <c r="L49" s="6">
        <v>0.66</v>
      </c>
      <c r="M49" s="6">
        <v>0.161</v>
      </c>
      <c r="N49" s="4">
        <v>10471</v>
      </c>
      <c r="O49" s="4">
        <v>8.3770000000000007</v>
      </c>
      <c r="P49" s="6">
        <v>0.25800000000000001</v>
      </c>
      <c r="Q49" s="5">
        <v>179059</v>
      </c>
      <c r="R49" s="7">
        <v>40508</v>
      </c>
    </row>
    <row r="50" spans="1:18" s="8" customFormat="1" ht="30" customHeight="1">
      <c r="A50" s="2" t="s">
        <v>48</v>
      </c>
      <c r="B50" s="3">
        <v>2022</v>
      </c>
      <c r="C50" s="3" t="s">
        <v>49</v>
      </c>
      <c r="D50" s="3" t="s">
        <v>50</v>
      </c>
      <c r="E50" s="4" t="s">
        <v>21</v>
      </c>
      <c r="F50" s="3">
        <v>0.375</v>
      </c>
      <c r="G50" s="3">
        <v>0.1</v>
      </c>
      <c r="H50" s="5">
        <v>5302</v>
      </c>
      <c r="I50" s="5">
        <v>5202</v>
      </c>
      <c r="J50" s="5">
        <v>236</v>
      </c>
      <c r="K50" s="6">
        <v>0.97699999999999998</v>
      </c>
      <c r="L50" s="6">
        <v>0.61199999999999999</v>
      </c>
      <c r="M50" s="6">
        <v>0.314</v>
      </c>
      <c r="N50" s="4">
        <v>5898</v>
      </c>
      <c r="O50" s="4">
        <v>0.89900000000000002</v>
      </c>
      <c r="P50" s="6">
        <v>4.3999999999999997E-2</v>
      </c>
      <c r="Q50" s="5">
        <v>97292</v>
      </c>
      <c r="R50" s="7">
        <v>7936</v>
      </c>
    </row>
    <row r="51" spans="1:18" s="8" customFormat="1" ht="30" customHeight="1">
      <c r="A51" s="9" t="s">
        <v>48</v>
      </c>
      <c r="B51" s="10">
        <v>2023</v>
      </c>
      <c r="C51" s="10" t="s">
        <v>49</v>
      </c>
      <c r="D51" s="10" t="s">
        <v>50</v>
      </c>
      <c r="E51" s="4" t="s">
        <v>21</v>
      </c>
      <c r="F51" s="10">
        <v>0.375</v>
      </c>
      <c r="G51" s="10">
        <v>0.1</v>
      </c>
      <c r="H51" s="5">
        <v>5956</v>
      </c>
      <c r="I51" s="5">
        <v>5487</v>
      </c>
      <c r="J51" s="5">
        <v>389</v>
      </c>
      <c r="K51" s="6">
        <v>0.93300000000000005</v>
      </c>
      <c r="L51" s="6">
        <v>0.56299999999999994</v>
      </c>
      <c r="M51" s="6">
        <v>0.29699999999999999</v>
      </c>
      <c r="N51" s="4">
        <v>6588</v>
      </c>
      <c r="O51" s="4">
        <v>0.90400000000000003</v>
      </c>
      <c r="P51" s="6">
        <v>0.123</v>
      </c>
      <c r="Q51" s="5">
        <v>96693</v>
      </c>
      <c r="R51" s="7">
        <v>8499</v>
      </c>
    </row>
    <row r="52" spans="1:18" s="8" customFormat="1" ht="30" customHeight="1">
      <c r="A52" s="2" t="s">
        <v>48</v>
      </c>
      <c r="B52" s="3">
        <v>2024</v>
      </c>
      <c r="C52" s="3" t="s">
        <v>49</v>
      </c>
      <c r="D52" s="3" t="s">
        <v>50</v>
      </c>
      <c r="E52" s="4" t="s">
        <v>21</v>
      </c>
      <c r="F52" s="3">
        <v>0.375</v>
      </c>
      <c r="G52" s="3">
        <v>0.1</v>
      </c>
      <c r="H52" s="5">
        <v>6593</v>
      </c>
      <c r="I52" s="5">
        <v>6268</v>
      </c>
      <c r="J52" s="5">
        <v>454</v>
      </c>
      <c r="K52" s="6">
        <v>0.93600000000000005</v>
      </c>
      <c r="L52" s="6">
        <v>0.59099999999999997</v>
      </c>
      <c r="M52" s="6">
        <v>0.28199999999999997</v>
      </c>
      <c r="N52" s="4">
        <v>7020</v>
      </c>
      <c r="O52" s="4">
        <v>0.93899999999999995</v>
      </c>
      <c r="P52" s="6">
        <v>0.107</v>
      </c>
      <c r="Q52" s="5">
        <v>98455</v>
      </c>
      <c r="R52" s="7">
        <v>8797</v>
      </c>
    </row>
    <row r="53" spans="1:18" s="8" customFormat="1" ht="30" customHeight="1">
      <c r="A53" s="9" t="s">
        <v>48</v>
      </c>
      <c r="B53" s="10">
        <v>2025</v>
      </c>
      <c r="C53" s="10" t="s">
        <v>49</v>
      </c>
      <c r="D53" s="10" t="s">
        <v>50</v>
      </c>
      <c r="E53" s="4" t="s">
        <v>21</v>
      </c>
      <c r="F53" s="10">
        <v>0.375</v>
      </c>
      <c r="G53" s="10">
        <v>0.1</v>
      </c>
      <c r="H53" s="5">
        <v>7545</v>
      </c>
      <c r="I53" s="5">
        <v>6825</v>
      </c>
      <c r="J53" s="5">
        <v>548</v>
      </c>
      <c r="K53" s="6">
        <v>0.92500000000000004</v>
      </c>
      <c r="L53" s="6">
        <v>0.6</v>
      </c>
      <c r="M53" s="6">
        <v>0.28599999999999998</v>
      </c>
      <c r="N53" s="4">
        <v>9338</v>
      </c>
      <c r="O53" s="4">
        <v>0.80800000000000005</v>
      </c>
      <c r="P53" s="6">
        <v>0.14399999999999999</v>
      </c>
      <c r="Q53" s="5">
        <v>107073</v>
      </c>
      <c r="R53" s="7">
        <v>11503</v>
      </c>
    </row>
    <row r="54" spans="1:18" s="8" customFormat="1" ht="30" customHeight="1">
      <c r="A54" s="2" t="s">
        <v>51</v>
      </c>
      <c r="B54" s="3">
        <v>2022</v>
      </c>
      <c r="C54" s="3" t="s">
        <v>49</v>
      </c>
      <c r="D54" s="3" t="s">
        <v>52</v>
      </c>
      <c r="E54" s="4" t="s">
        <v>21</v>
      </c>
      <c r="F54" s="3">
        <v>0</v>
      </c>
      <c r="G54" s="3">
        <v>0</v>
      </c>
      <c r="H54" s="5">
        <v>3881</v>
      </c>
      <c r="I54" s="5">
        <v>3864</v>
      </c>
      <c r="J54" s="5">
        <v>258</v>
      </c>
      <c r="K54" s="6">
        <v>0.94399999999999995</v>
      </c>
      <c r="L54" s="6">
        <v>0.71</v>
      </c>
      <c r="M54" s="6">
        <v>0.23400000000000001</v>
      </c>
      <c r="N54" s="4">
        <v>7276.8</v>
      </c>
      <c r="O54" s="4">
        <v>0.53300000000000003</v>
      </c>
      <c r="P54" s="6">
        <v>3.1E-2</v>
      </c>
      <c r="Q54" s="5">
        <v>76735</v>
      </c>
      <c r="R54" s="7">
        <v>8597</v>
      </c>
    </row>
    <row r="55" spans="1:18" s="8" customFormat="1" ht="30" customHeight="1">
      <c r="A55" s="9" t="s">
        <v>51</v>
      </c>
      <c r="B55" s="10">
        <v>2023</v>
      </c>
      <c r="C55" s="10" t="s">
        <v>49</v>
      </c>
      <c r="D55" s="10" t="s">
        <v>52</v>
      </c>
      <c r="E55" s="4" t="s">
        <v>21</v>
      </c>
      <c r="F55" s="10">
        <v>0.125</v>
      </c>
      <c r="G55" s="10">
        <v>0</v>
      </c>
      <c r="H55" s="5">
        <v>4044</v>
      </c>
      <c r="I55" s="5">
        <v>4034</v>
      </c>
      <c r="J55" s="5">
        <v>309</v>
      </c>
      <c r="K55" s="6">
        <v>0.93899999999999995</v>
      </c>
      <c r="L55" s="6">
        <v>0.69599999999999995</v>
      </c>
      <c r="M55" s="6">
        <v>0.24299999999999999</v>
      </c>
      <c r="N55" s="4">
        <v>7305.4</v>
      </c>
      <c r="O55" s="4">
        <v>0.55400000000000005</v>
      </c>
      <c r="P55" s="6">
        <v>4.2000000000000003E-2</v>
      </c>
      <c r="Q55" s="5">
        <v>77718</v>
      </c>
      <c r="R55" s="7">
        <v>8980</v>
      </c>
    </row>
    <row r="56" spans="1:18" s="8" customFormat="1" ht="30" customHeight="1">
      <c r="A56" s="2" t="s">
        <v>51</v>
      </c>
      <c r="B56" s="3">
        <v>2024</v>
      </c>
      <c r="C56" s="3" t="s">
        <v>49</v>
      </c>
      <c r="D56" s="3" t="s">
        <v>52</v>
      </c>
      <c r="E56" s="4" t="s">
        <v>21</v>
      </c>
      <c r="F56" s="3">
        <v>0.5</v>
      </c>
      <c r="G56" s="3">
        <v>0.2</v>
      </c>
      <c r="H56" s="5">
        <v>4397</v>
      </c>
      <c r="I56" s="5">
        <v>4321</v>
      </c>
      <c r="J56" s="5">
        <v>301</v>
      </c>
      <c r="K56" s="6">
        <v>0.94799999999999995</v>
      </c>
      <c r="L56" s="6">
        <v>0.71099999999999997</v>
      </c>
      <c r="M56" s="6">
        <v>0.23699999999999999</v>
      </c>
      <c r="N56" s="4">
        <v>7046.4</v>
      </c>
      <c r="O56" s="4">
        <v>0.624</v>
      </c>
      <c r="P56" s="6">
        <v>8.6999999999999994E-2</v>
      </c>
      <c r="Q56" s="5">
        <v>82216</v>
      </c>
      <c r="R56" s="7">
        <v>9415</v>
      </c>
    </row>
    <row r="57" spans="1:18" s="8" customFormat="1" ht="30" customHeight="1">
      <c r="A57" s="9" t="s">
        <v>51</v>
      </c>
      <c r="B57" s="10">
        <v>2025</v>
      </c>
      <c r="C57" s="10" t="s">
        <v>49</v>
      </c>
      <c r="D57" s="10" t="s">
        <v>52</v>
      </c>
      <c r="E57" s="4" t="s">
        <v>21</v>
      </c>
      <c r="F57" s="10">
        <v>0.5</v>
      </c>
      <c r="G57" s="10">
        <v>0.2</v>
      </c>
      <c r="H57" s="5">
        <v>4593</v>
      </c>
      <c r="I57" s="5">
        <v>4553</v>
      </c>
      <c r="J57" s="5">
        <v>391</v>
      </c>
      <c r="K57" s="6">
        <v>0.93</v>
      </c>
      <c r="L57" s="6">
        <v>0.69599999999999995</v>
      </c>
      <c r="M57" s="6">
        <v>0.23400000000000001</v>
      </c>
      <c r="N57" s="4">
        <v>7031.3</v>
      </c>
      <c r="O57" s="4">
        <v>0.65300000000000002</v>
      </c>
      <c r="P57" s="6">
        <v>4.4999999999999998E-2</v>
      </c>
      <c r="Q57" s="5">
        <v>85290</v>
      </c>
      <c r="R57" s="7">
        <v>11887</v>
      </c>
    </row>
    <row r="58" spans="1:18" s="8" customFormat="1" ht="30" customHeight="1">
      <c r="A58" s="2" t="s">
        <v>53</v>
      </c>
      <c r="B58" s="3">
        <v>2022</v>
      </c>
      <c r="C58" s="3" t="s">
        <v>49</v>
      </c>
      <c r="D58" s="3" t="s">
        <v>54</v>
      </c>
      <c r="E58" s="4" t="s">
        <v>55</v>
      </c>
      <c r="F58" s="3">
        <v>0.25</v>
      </c>
      <c r="G58" s="3">
        <v>0.1</v>
      </c>
      <c r="H58" s="5">
        <v>3958.7</v>
      </c>
      <c r="I58" s="5">
        <v>3936.5</v>
      </c>
      <c r="J58" s="5">
        <v>99.4</v>
      </c>
      <c r="K58" s="6">
        <v>0.92900000000000005</v>
      </c>
      <c r="L58" s="6">
        <v>0.65100000000000002</v>
      </c>
      <c r="M58" s="6">
        <v>0.27900000000000003</v>
      </c>
      <c r="N58" s="4">
        <v>5917</v>
      </c>
      <c r="O58" s="4">
        <v>0.66900000000000004</v>
      </c>
      <c r="P58" s="6">
        <v>-2.3E-2</v>
      </c>
      <c r="Q58" s="5">
        <v>77994.600000000006</v>
      </c>
      <c r="R58" s="7">
        <v>3417.4</v>
      </c>
    </row>
    <row r="59" spans="1:18" s="8" customFormat="1" ht="30" customHeight="1">
      <c r="A59" s="9" t="s">
        <v>53</v>
      </c>
      <c r="B59" s="10">
        <v>2023</v>
      </c>
      <c r="C59" s="10" t="s">
        <v>49</v>
      </c>
      <c r="D59" s="10" t="s">
        <v>54</v>
      </c>
      <c r="E59" s="4" t="s">
        <v>55</v>
      </c>
      <c r="F59" s="10">
        <v>0.25</v>
      </c>
      <c r="G59" s="10">
        <v>0.1</v>
      </c>
      <c r="H59" s="5">
        <v>4081.6</v>
      </c>
      <c r="I59" s="5">
        <v>4013</v>
      </c>
      <c r="J59" s="5">
        <v>134</v>
      </c>
      <c r="K59" s="6">
        <v>0.94599999999999995</v>
      </c>
      <c r="L59" s="6">
        <v>0.64600000000000002</v>
      </c>
      <c r="M59" s="6">
        <v>0.3</v>
      </c>
      <c r="N59" s="4">
        <v>5946</v>
      </c>
      <c r="O59" s="4">
        <v>0.68600000000000005</v>
      </c>
      <c r="P59" s="6">
        <v>3.1E-2</v>
      </c>
      <c r="Q59" s="5">
        <v>77872.800000000003</v>
      </c>
      <c r="R59" s="7">
        <v>3259.3</v>
      </c>
    </row>
    <row r="60" spans="1:18" s="8" customFormat="1" ht="30" customHeight="1">
      <c r="A60" s="2" t="s">
        <v>53</v>
      </c>
      <c r="B60" s="3">
        <v>2024</v>
      </c>
      <c r="C60" s="3" t="s">
        <v>49</v>
      </c>
      <c r="D60" s="3" t="s">
        <v>54</v>
      </c>
      <c r="E60" s="4" t="s">
        <v>55</v>
      </c>
      <c r="F60" s="3">
        <v>0.375</v>
      </c>
      <c r="G60" s="3">
        <v>0.3</v>
      </c>
      <c r="H60" s="5">
        <v>4120.2</v>
      </c>
      <c r="I60" s="5">
        <v>4095</v>
      </c>
      <c r="J60" s="5">
        <v>261.10000000000002</v>
      </c>
      <c r="K60" s="6">
        <v>0.92900000000000005</v>
      </c>
      <c r="L60" s="6">
        <v>0.63</v>
      </c>
      <c r="M60" s="6">
        <v>0.29899999999999999</v>
      </c>
      <c r="N60" s="4">
        <v>5893</v>
      </c>
      <c r="O60" s="4">
        <v>0.69899999999999995</v>
      </c>
      <c r="P60" s="6">
        <v>8.9999999999999993E-3</v>
      </c>
      <c r="Q60" s="5">
        <v>79976.899999999994</v>
      </c>
      <c r="R60" s="7">
        <v>3636.3</v>
      </c>
    </row>
    <row r="61" spans="1:18" s="8" customFormat="1" ht="30" customHeight="1">
      <c r="A61" s="9" t="s">
        <v>53</v>
      </c>
      <c r="B61" s="10">
        <v>2025</v>
      </c>
      <c r="C61" s="10" t="s">
        <v>49</v>
      </c>
      <c r="D61" s="10" t="s">
        <v>54</v>
      </c>
      <c r="E61" s="4" t="s">
        <v>55</v>
      </c>
      <c r="F61" s="10">
        <v>0.5</v>
      </c>
      <c r="G61" s="10">
        <v>0.4</v>
      </c>
      <c r="H61" s="5">
        <v>4089</v>
      </c>
      <c r="I61" s="5">
        <v>4088.4</v>
      </c>
      <c r="J61" s="5">
        <v>313.89999999999998</v>
      </c>
      <c r="K61" s="6">
        <v>0.92200000000000004</v>
      </c>
      <c r="L61" s="6">
        <v>0.625</v>
      </c>
      <c r="M61" s="6">
        <v>0.29699999999999999</v>
      </c>
      <c r="N61" s="4">
        <v>5566</v>
      </c>
      <c r="O61" s="4">
        <v>0.73499999999999999</v>
      </c>
      <c r="P61" s="6">
        <v>-8.0000000000000002E-3</v>
      </c>
      <c r="Q61" s="5">
        <v>78233.600000000006</v>
      </c>
      <c r="R61" s="7">
        <v>3481.8</v>
      </c>
    </row>
    <row r="62" spans="1:18" s="8" customFormat="1" ht="30" customHeight="1">
      <c r="A62" s="2" t="s">
        <v>56</v>
      </c>
      <c r="B62" s="3">
        <v>2022</v>
      </c>
      <c r="C62" s="3" t="s">
        <v>49</v>
      </c>
      <c r="D62" s="3" t="s">
        <v>23</v>
      </c>
      <c r="E62" s="4" t="s">
        <v>21</v>
      </c>
      <c r="F62" s="3">
        <v>0</v>
      </c>
      <c r="G62" s="3">
        <v>0</v>
      </c>
      <c r="H62" s="5">
        <v>7963</v>
      </c>
      <c r="I62" s="5">
        <v>15733</v>
      </c>
      <c r="J62" s="5">
        <v>-22</v>
      </c>
      <c r="K62" s="6">
        <v>1.004</v>
      </c>
      <c r="L62" s="6">
        <v>0.75</v>
      </c>
      <c r="M62" s="6">
        <v>0.27900000000000003</v>
      </c>
      <c r="N62" s="4">
        <v>15690</v>
      </c>
      <c r="O62" s="4">
        <v>0.50800000000000001</v>
      </c>
      <c r="P62" s="6">
        <v>6.4000000000000001E-2</v>
      </c>
      <c r="Q62" s="5">
        <v>86316</v>
      </c>
      <c r="R62" s="7">
        <v>8783</v>
      </c>
    </row>
    <row r="63" spans="1:18" s="8" customFormat="1" ht="30" customHeight="1">
      <c r="A63" s="9" t="s">
        <v>56</v>
      </c>
      <c r="B63" s="10">
        <v>2023</v>
      </c>
      <c r="C63" s="10" t="s">
        <v>49</v>
      </c>
      <c r="D63" s="10" t="s">
        <v>23</v>
      </c>
      <c r="E63" s="4" t="s">
        <v>21</v>
      </c>
      <c r="F63" s="10">
        <v>0.375</v>
      </c>
      <c r="G63" s="10">
        <v>0.2</v>
      </c>
      <c r="H63" s="5">
        <v>8813</v>
      </c>
      <c r="I63" s="5">
        <v>15733</v>
      </c>
      <c r="J63" s="5">
        <v>316</v>
      </c>
      <c r="K63" s="6">
        <v>0.97899999999999998</v>
      </c>
      <c r="L63" s="6">
        <v>0.66100000000000003</v>
      </c>
      <c r="M63" s="6">
        <v>0.28000000000000003</v>
      </c>
      <c r="N63" s="4">
        <v>16197</v>
      </c>
      <c r="O63" s="4">
        <v>0.54100000000000004</v>
      </c>
      <c r="P63" s="6">
        <v>0.107</v>
      </c>
      <c r="Q63" s="5">
        <v>91949</v>
      </c>
      <c r="R63" s="7">
        <v>9862</v>
      </c>
    </row>
    <row r="64" spans="1:18" s="8" customFormat="1" ht="30" customHeight="1">
      <c r="A64" s="2" t="s">
        <v>56</v>
      </c>
      <c r="B64" s="3">
        <v>2024</v>
      </c>
      <c r="C64" s="3" t="s">
        <v>49</v>
      </c>
      <c r="D64" s="3" t="s">
        <v>23</v>
      </c>
      <c r="E64" s="4" t="s">
        <v>21</v>
      </c>
      <c r="F64" s="3">
        <v>0.5</v>
      </c>
      <c r="G64" s="3">
        <v>0.2</v>
      </c>
      <c r="H64" s="5">
        <v>9241</v>
      </c>
      <c r="I64" s="5">
        <v>18257</v>
      </c>
      <c r="J64" s="5">
        <v>429</v>
      </c>
      <c r="K64" s="6">
        <v>0.95099999999999996</v>
      </c>
      <c r="L64" s="6">
        <v>0.65500000000000003</v>
      </c>
      <c r="M64" s="6">
        <v>0.28100000000000003</v>
      </c>
      <c r="N64" s="4">
        <v>16197</v>
      </c>
      <c r="O64" s="4">
        <v>0.57099999999999995</v>
      </c>
      <c r="P64" s="6">
        <v>4.9000000000000002E-2</v>
      </c>
      <c r="Q64" s="5">
        <v>89396</v>
      </c>
      <c r="R64" s="7">
        <v>10487</v>
      </c>
    </row>
    <row r="65" spans="1:18" s="8" customFormat="1" ht="30" customHeight="1">
      <c r="A65" s="9" t="s">
        <v>56</v>
      </c>
      <c r="B65" s="10">
        <v>2025</v>
      </c>
      <c r="C65" s="10" t="s">
        <v>49</v>
      </c>
      <c r="D65" s="10" t="s">
        <v>23</v>
      </c>
      <c r="E65" s="4" t="s">
        <v>21</v>
      </c>
      <c r="F65" s="10">
        <v>0.5</v>
      </c>
      <c r="G65" s="10">
        <v>0.4</v>
      </c>
      <c r="H65" s="5">
        <v>9801</v>
      </c>
      <c r="I65" s="5">
        <v>19756</v>
      </c>
      <c r="J65" s="5">
        <v>747</v>
      </c>
      <c r="K65" s="6">
        <v>0.91900000000000004</v>
      </c>
      <c r="L65" s="6">
        <v>0.65600000000000003</v>
      </c>
      <c r="M65" s="6">
        <v>0.28000000000000003</v>
      </c>
      <c r="N65" s="4">
        <v>15654</v>
      </c>
      <c r="O65" s="4">
        <v>0.626</v>
      </c>
      <c r="P65" s="6">
        <v>6.0999999999999999E-2</v>
      </c>
      <c r="Q65" s="5">
        <v>94163</v>
      </c>
      <c r="R65" s="7">
        <v>11951</v>
      </c>
    </row>
    <row r="66" spans="1:18" s="8" customFormat="1" ht="30" customHeight="1">
      <c r="A66" s="2" t="s">
        <v>57</v>
      </c>
      <c r="B66" s="3">
        <v>2022</v>
      </c>
      <c r="C66" s="3" t="s">
        <v>49</v>
      </c>
      <c r="D66" s="3" t="s">
        <v>58</v>
      </c>
      <c r="E66" s="4" t="s">
        <v>55</v>
      </c>
      <c r="F66" s="3">
        <v>0</v>
      </c>
      <c r="G66" s="3">
        <v>0</v>
      </c>
      <c r="H66" s="5">
        <v>6553.2</v>
      </c>
      <c r="I66" s="5">
        <v>6356.6</v>
      </c>
      <c r="J66" s="5">
        <v>319.3</v>
      </c>
      <c r="K66" s="6">
        <v>0.94299999999999995</v>
      </c>
      <c r="L66" s="6">
        <v>0.66900000000000004</v>
      </c>
      <c r="M66" s="6">
        <v>0.27500000000000002</v>
      </c>
      <c r="N66" s="4">
        <v>9853</v>
      </c>
      <c r="O66" s="4">
        <v>0.66500000000000004</v>
      </c>
      <c r="P66" s="6">
        <v>4.5999999999999999E-2</v>
      </c>
      <c r="Q66" s="5">
        <v>57500.4</v>
      </c>
      <c r="R66" s="7">
        <v>3458.9</v>
      </c>
    </row>
    <row r="67" spans="1:18" s="8" customFormat="1" ht="30" customHeight="1">
      <c r="A67" s="9" t="s">
        <v>57</v>
      </c>
      <c r="B67" s="10">
        <v>2023</v>
      </c>
      <c r="C67" s="10" t="s">
        <v>49</v>
      </c>
      <c r="D67" s="10" t="s">
        <v>58</v>
      </c>
      <c r="E67" s="14" t="s">
        <v>55</v>
      </c>
      <c r="F67" s="10">
        <v>0.25</v>
      </c>
      <c r="G67" s="10">
        <v>0.3</v>
      </c>
      <c r="H67" s="5">
        <v>7117.1</v>
      </c>
      <c r="I67" s="5">
        <v>6809.7</v>
      </c>
      <c r="J67" s="5">
        <v>220.6</v>
      </c>
      <c r="K67" s="6">
        <v>0.97399999999999998</v>
      </c>
      <c r="L67" s="6">
        <v>0.69899999999999995</v>
      </c>
      <c r="M67" s="11">
        <v>0.27500000000000002</v>
      </c>
      <c r="N67" s="4">
        <v>10924</v>
      </c>
      <c r="O67" s="4">
        <v>0.65200000000000002</v>
      </c>
      <c r="P67" s="6">
        <v>8.5999999999999993E-2</v>
      </c>
      <c r="Q67" s="5">
        <v>59216.1</v>
      </c>
      <c r="R67" s="7">
        <v>3337.5</v>
      </c>
    </row>
    <row r="68" spans="1:18" s="8" customFormat="1" ht="30" customHeight="1">
      <c r="A68" s="2" t="s">
        <v>57</v>
      </c>
      <c r="B68" s="3">
        <v>2024</v>
      </c>
      <c r="C68" s="3" t="s">
        <v>49</v>
      </c>
      <c r="D68" s="3" t="s">
        <v>58</v>
      </c>
      <c r="E68" s="14" t="s">
        <v>55</v>
      </c>
      <c r="F68" s="3">
        <v>0.375</v>
      </c>
      <c r="G68" s="3">
        <v>0.3</v>
      </c>
      <c r="H68" s="5">
        <v>7425</v>
      </c>
      <c r="I68" s="5">
        <v>7272.6</v>
      </c>
      <c r="J68" s="5">
        <v>357.1</v>
      </c>
      <c r="K68" s="6">
        <v>0.95</v>
      </c>
      <c r="L68" s="6">
        <v>0.67400000000000004</v>
      </c>
      <c r="M68" s="11">
        <v>0.27500000000000002</v>
      </c>
      <c r="N68" s="14">
        <v>11540</v>
      </c>
      <c r="O68" s="4">
        <v>0.64300000000000002</v>
      </c>
      <c r="P68" s="6">
        <v>4.2999999999999997E-2</v>
      </c>
      <c r="Q68" s="5">
        <v>60961.2</v>
      </c>
      <c r="R68" s="7">
        <v>3660.4</v>
      </c>
    </row>
    <row r="69" spans="1:18" s="8" customFormat="1" ht="30" customHeight="1">
      <c r="A69" s="9" t="s">
        <v>57</v>
      </c>
      <c r="B69" s="10">
        <v>2025</v>
      </c>
      <c r="C69" s="10" t="s">
        <v>49</v>
      </c>
      <c r="D69" s="10" t="s">
        <v>58</v>
      </c>
      <c r="E69" s="14" t="s">
        <v>55</v>
      </c>
      <c r="F69" s="10">
        <v>0.375</v>
      </c>
      <c r="G69" s="10">
        <v>0.3</v>
      </c>
      <c r="H69" s="5">
        <v>7555.2</v>
      </c>
      <c r="I69" s="5">
        <v>7366.4</v>
      </c>
      <c r="J69" s="5">
        <v>444.3</v>
      </c>
      <c r="K69" s="6">
        <v>0.93100000000000005</v>
      </c>
      <c r="L69" s="6">
        <v>0.65900000000000003</v>
      </c>
      <c r="M69" s="11">
        <v>0.27500000000000002</v>
      </c>
      <c r="N69" s="14">
        <v>11600</v>
      </c>
      <c r="O69" s="4">
        <v>0.65100000000000002</v>
      </c>
      <c r="P69" s="6">
        <v>1.7999999999999999E-2</v>
      </c>
      <c r="Q69" s="5" t="s">
        <v>24</v>
      </c>
      <c r="R69" s="7" t="s">
        <v>24</v>
      </c>
    </row>
    <row r="70" spans="1:18" s="8" customFormat="1" ht="30" customHeight="1">
      <c r="A70" s="2" t="s">
        <v>59</v>
      </c>
      <c r="B70" s="3">
        <v>2022</v>
      </c>
      <c r="C70" s="3" t="s">
        <v>49</v>
      </c>
      <c r="D70" s="3" t="s">
        <v>60</v>
      </c>
      <c r="E70" s="4" t="s">
        <v>61</v>
      </c>
      <c r="F70" s="3">
        <v>0</v>
      </c>
      <c r="G70" s="3">
        <v>0</v>
      </c>
      <c r="H70" s="5">
        <v>31630.2</v>
      </c>
      <c r="I70" s="5">
        <v>30921.200000000001</v>
      </c>
      <c r="J70" s="5">
        <v>5612</v>
      </c>
      <c r="K70" s="6">
        <v>0.81799999999999995</v>
      </c>
      <c r="L70" s="6">
        <v>0.69199999999999995</v>
      </c>
      <c r="M70" s="6">
        <v>0.126</v>
      </c>
      <c r="N70" s="4">
        <v>3111</v>
      </c>
      <c r="O70" s="4">
        <v>10.167</v>
      </c>
      <c r="P70" s="6">
        <v>7.9000000000000001E-2</v>
      </c>
      <c r="Q70" s="5">
        <v>128082.5</v>
      </c>
      <c r="R70" s="7">
        <v>23959.599999999999</v>
      </c>
    </row>
    <row r="71" spans="1:18" s="8" customFormat="1" ht="30" customHeight="1">
      <c r="A71" s="9" t="s">
        <v>59</v>
      </c>
      <c r="B71" s="10">
        <v>2023</v>
      </c>
      <c r="C71" s="10" t="s">
        <v>49</v>
      </c>
      <c r="D71" s="10" t="s">
        <v>60</v>
      </c>
      <c r="E71" s="4" t="s">
        <v>61</v>
      </c>
      <c r="F71" s="10">
        <v>0</v>
      </c>
      <c r="G71" s="10">
        <v>0</v>
      </c>
      <c r="H71" s="5">
        <v>35328.699999999997</v>
      </c>
      <c r="I71" s="5">
        <v>34568.1</v>
      </c>
      <c r="J71" s="5">
        <v>4460.6000000000004</v>
      </c>
      <c r="K71" s="6">
        <v>0.871</v>
      </c>
      <c r="L71" s="6">
        <v>0.73399999999999999</v>
      </c>
      <c r="M71" s="6">
        <v>0.13700000000000001</v>
      </c>
      <c r="N71" s="4">
        <v>3331</v>
      </c>
      <c r="O71" s="4">
        <v>10.606</v>
      </c>
      <c r="P71" s="6">
        <v>0.11700000000000001</v>
      </c>
      <c r="Q71" s="5">
        <v>148282</v>
      </c>
      <c r="R71" s="7">
        <v>24235</v>
      </c>
    </row>
    <row r="72" spans="1:18" s="8" customFormat="1" ht="30" customHeight="1">
      <c r="A72" s="2" t="s">
        <v>59</v>
      </c>
      <c r="B72" s="3">
        <v>2024</v>
      </c>
      <c r="C72" s="3" t="s">
        <v>49</v>
      </c>
      <c r="D72" s="3" t="s">
        <v>60</v>
      </c>
      <c r="E72" s="4" t="s">
        <v>61</v>
      </c>
      <c r="F72" s="3">
        <v>0.125</v>
      </c>
      <c r="G72" s="3">
        <v>0</v>
      </c>
      <c r="H72" s="5">
        <v>39741.800000000003</v>
      </c>
      <c r="I72" s="5">
        <v>38359.4</v>
      </c>
      <c r="J72" s="5">
        <v>5386.6</v>
      </c>
      <c r="K72" s="6">
        <v>0.86</v>
      </c>
      <c r="L72" s="6">
        <v>0.73699999999999999</v>
      </c>
      <c r="M72" s="6">
        <v>0.123</v>
      </c>
      <c r="N72" s="4">
        <v>3426</v>
      </c>
      <c r="O72" s="4">
        <v>11.6</v>
      </c>
      <c r="P72" s="6">
        <v>0.125</v>
      </c>
      <c r="Q72" s="5">
        <v>171486.3</v>
      </c>
      <c r="R72" s="7">
        <v>26015.8</v>
      </c>
    </row>
    <row r="73" spans="1:18" s="8" customFormat="1" ht="30" customHeight="1">
      <c r="A73" s="9" t="s">
        <v>59</v>
      </c>
      <c r="B73" s="10">
        <v>2025</v>
      </c>
      <c r="C73" s="10" t="s">
        <v>49</v>
      </c>
      <c r="D73" s="10" t="s">
        <v>60</v>
      </c>
      <c r="E73" s="4" t="s">
        <v>61</v>
      </c>
      <c r="F73" s="10">
        <v>0.375</v>
      </c>
      <c r="G73" s="10">
        <v>0.1</v>
      </c>
      <c r="H73" s="5">
        <v>44317.599999999999</v>
      </c>
      <c r="I73" s="5">
        <v>42769.5</v>
      </c>
      <c r="J73" s="5">
        <v>7081.4</v>
      </c>
      <c r="K73" s="6">
        <v>0.83399999999999996</v>
      </c>
      <c r="L73" s="6">
        <v>0.70799999999999996</v>
      </c>
      <c r="M73" s="6">
        <v>0.127</v>
      </c>
      <c r="N73" s="4">
        <v>3567</v>
      </c>
      <c r="O73" s="4">
        <v>12.423999999999999</v>
      </c>
      <c r="P73" s="6">
        <v>0.115</v>
      </c>
      <c r="Q73" s="5">
        <v>191899.4</v>
      </c>
      <c r="R73" s="7">
        <v>28309.599999999999</v>
      </c>
    </row>
    <row r="74" spans="1:18" s="8" customFormat="1" ht="30" customHeight="1">
      <c r="A74" s="2" t="s">
        <v>62</v>
      </c>
      <c r="B74" s="3">
        <v>2022</v>
      </c>
      <c r="C74" s="3" t="s">
        <v>49</v>
      </c>
      <c r="D74" s="3" t="s">
        <v>63</v>
      </c>
      <c r="E74" s="4" t="s">
        <v>64</v>
      </c>
      <c r="F74" s="3">
        <v>0.25</v>
      </c>
      <c r="G74" s="3">
        <v>0.1</v>
      </c>
      <c r="H74" s="5">
        <v>34658</v>
      </c>
      <c r="I74" s="5">
        <v>38365</v>
      </c>
      <c r="J74" s="5">
        <v>7174</v>
      </c>
      <c r="K74" s="6">
        <v>0.79400000000000004</v>
      </c>
      <c r="L74" s="6">
        <v>0.65900000000000003</v>
      </c>
      <c r="M74" s="6">
        <v>0.13500000000000001</v>
      </c>
      <c r="N74" s="4">
        <v>5944</v>
      </c>
      <c r="O74" s="4">
        <v>5.8310000000000004</v>
      </c>
      <c r="P74" s="6">
        <v>0.40600000000000003</v>
      </c>
      <c r="Q74" s="5">
        <v>113387</v>
      </c>
      <c r="R74" s="7">
        <v>42504</v>
      </c>
    </row>
    <row r="75" spans="1:18" s="8" customFormat="1" ht="30" customHeight="1">
      <c r="A75" s="9" t="s">
        <v>62</v>
      </c>
      <c r="B75" s="10">
        <v>2023</v>
      </c>
      <c r="C75" s="10" t="s">
        <v>49</v>
      </c>
      <c r="D75" s="10" t="s">
        <v>63</v>
      </c>
      <c r="E75" s="4" t="s">
        <v>64</v>
      </c>
      <c r="F75" s="10">
        <v>0.25</v>
      </c>
      <c r="G75" s="10">
        <v>0.1</v>
      </c>
      <c r="H75" s="5">
        <v>37126</v>
      </c>
      <c r="I75" s="5">
        <v>39126</v>
      </c>
      <c r="J75" s="5">
        <v>6465</v>
      </c>
      <c r="K75" s="6">
        <v>0.82599999999999996</v>
      </c>
      <c r="L75" s="6">
        <v>0.69199999999999995</v>
      </c>
      <c r="M75" s="6">
        <v>0.13400000000000001</v>
      </c>
      <c r="N75" s="4">
        <v>6784</v>
      </c>
      <c r="O75" s="4">
        <v>5.4729999999999999</v>
      </c>
      <c r="P75" s="6">
        <v>7.0999999999999994E-2</v>
      </c>
      <c r="Q75" s="5">
        <v>112940</v>
      </c>
      <c r="R75" s="7">
        <v>40351</v>
      </c>
    </row>
    <row r="76" spans="1:18" s="8" customFormat="1" ht="30" customHeight="1">
      <c r="A76" s="2" t="s">
        <v>62</v>
      </c>
      <c r="B76" s="3">
        <v>2024</v>
      </c>
      <c r="C76" s="3" t="s">
        <v>49</v>
      </c>
      <c r="D76" s="3" t="s">
        <v>63</v>
      </c>
      <c r="E76" s="4" t="s">
        <v>64</v>
      </c>
      <c r="F76" s="3">
        <v>0.25</v>
      </c>
      <c r="G76" s="3">
        <v>0.1</v>
      </c>
      <c r="H76" s="5">
        <v>39315</v>
      </c>
      <c r="I76" s="5">
        <v>39974</v>
      </c>
      <c r="J76" s="5">
        <v>7056</v>
      </c>
      <c r="K76" s="6">
        <v>0.81699999999999995</v>
      </c>
      <c r="L76" s="6">
        <v>0.68300000000000005</v>
      </c>
      <c r="M76" s="6">
        <v>0.13500000000000001</v>
      </c>
      <c r="N76" s="4">
        <v>6758</v>
      </c>
      <c r="O76" s="4">
        <v>5.8179999999999996</v>
      </c>
      <c r="P76" s="6">
        <v>5.8999999999999997E-2</v>
      </c>
      <c r="Q76" s="5">
        <v>104376</v>
      </c>
      <c r="R76" s="7">
        <v>38864</v>
      </c>
    </row>
    <row r="77" spans="1:18" s="8" customFormat="1" ht="30" customHeight="1">
      <c r="A77" s="9" t="s">
        <v>62</v>
      </c>
      <c r="B77" s="10">
        <v>2025</v>
      </c>
      <c r="C77" s="10" t="s">
        <v>49</v>
      </c>
      <c r="D77" s="10" t="s">
        <v>63</v>
      </c>
      <c r="E77" s="4" t="s">
        <v>64</v>
      </c>
      <c r="F77" s="10">
        <v>0.25</v>
      </c>
      <c r="G77" s="10">
        <v>0.1</v>
      </c>
      <c r="H77" s="5">
        <v>40043</v>
      </c>
      <c r="I77" s="5">
        <v>41515</v>
      </c>
      <c r="J77" s="5">
        <v>7945</v>
      </c>
      <c r="K77" s="6">
        <v>0.80300000000000005</v>
      </c>
      <c r="L77" s="6">
        <v>0.66900000000000004</v>
      </c>
      <c r="M77" s="6">
        <v>0.13400000000000001</v>
      </c>
      <c r="N77" s="4">
        <v>6839</v>
      </c>
      <c r="O77" s="4">
        <v>5.8550000000000004</v>
      </c>
      <c r="P77" s="6">
        <v>1.9E-2</v>
      </c>
      <c r="Q77" s="5">
        <v>103665</v>
      </c>
      <c r="R77" s="7">
        <v>39620</v>
      </c>
    </row>
    <row r="78" spans="1:18" s="8" customFormat="1" ht="30" customHeight="1">
      <c r="A78" s="2" t="s">
        <v>65</v>
      </c>
      <c r="B78" s="3">
        <v>2022</v>
      </c>
      <c r="C78" s="3" t="s">
        <v>49</v>
      </c>
      <c r="D78" s="3" t="s">
        <v>66</v>
      </c>
      <c r="E78" s="4" t="s">
        <v>21</v>
      </c>
      <c r="F78" s="3">
        <v>0.375</v>
      </c>
      <c r="G78" s="3">
        <v>0.2</v>
      </c>
      <c r="H78" s="5">
        <v>2093</v>
      </c>
      <c r="I78" s="5">
        <v>2059</v>
      </c>
      <c r="J78" s="5">
        <v>363</v>
      </c>
      <c r="K78" s="6">
        <v>0.86599999999999999</v>
      </c>
      <c r="L78" s="6">
        <v>0.55600000000000005</v>
      </c>
      <c r="M78" s="6">
        <v>0.31</v>
      </c>
      <c r="N78" s="4">
        <v>3408.3</v>
      </c>
      <c r="O78" s="4">
        <v>0.61399999999999999</v>
      </c>
      <c r="P78" s="6">
        <v>7.2999999999999995E-2</v>
      </c>
      <c r="Q78" s="5">
        <v>33446</v>
      </c>
      <c r="R78" s="7">
        <v>3169</v>
      </c>
    </row>
    <row r="79" spans="1:18" s="8" customFormat="1" ht="30" customHeight="1">
      <c r="A79" s="9" t="s">
        <v>65</v>
      </c>
      <c r="B79" s="10">
        <v>2023</v>
      </c>
      <c r="C79" s="10" t="s">
        <v>49</v>
      </c>
      <c r="D79" s="10" t="s">
        <v>66</v>
      </c>
      <c r="E79" s="4" t="s">
        <v>21</v>
      </c>
      <c r="F79" s="10">
        <v>0.375</v>
      </c>
      <c r="G79" s="10">
        <v>0.2</v>
      </c>
      <c r="H79" s="5">
        <v>2351</v>
      </c>
      <c r="I79" s="5">
        <v>2290</v>
      </c>
      <c r="J79" s="5">
        <v>344</v>
      </c>
      <c r="K79" s="6">
        <v>0.87</v>
      </c>
      <c r="L79" s="6">
        <v>0.55700000000000005</v>
      </c>
      <c r="M79" s="6">
        <v>0.311</v>
      </c>
      <c r="N79" s="4">
        <v>3462.2</v>
      </c>
      <c r="O79" s="4">
        <v>0.67900000000000005</v>
      </c>
      <c r="P79" s="6">
        <v>0.123</v>
      </c>
      <c r="Q79" s="5">
        <v>35338</v>
      </c>
      <c r="R79" s="7">
        <v>3302</v>
      </c>
    </row>
    <row r="80" spans="1:18" s="8" customFormat="1" ht="30" customHeight="1">
      <c r="A80" s="2" t="s">
        <v>65</v>
      </c>
      <c r="B80" s="3">
        <v>2024</v>
      </c>
      <c r="C80" s="3" t="s">
        <v>49</v>
      </c>
      <c r="D80" s="3" t="s">
        <v>66</v>
      </c>
      <c r="E80" s="4" t="s">
        <v>21</v>
      </c>
      <c r="F80" s="3">
        <v>0.5</v>
      </c>
      <c r="G80" s="3">
        <v>0.2</v>
      </c>
      <c r="H80" s="5">
        <v>2547</v>
      </c>
      <c r="I80" s="5">
        <v>2492</v>
      </c>
      <c r="J80" s="5">
        <v>296</v>
      </c>
      <c r="K80" s="6">
        <v>0.89700000000000002</v>
      </c>
      <c r="L80" s="6">
        <v>0.58399999999999996</v>
      </c>
      <c r="M80" s="6">
        <v>0.313</v>
      </c>
      <c r="N80" s="4">
        <v>3474.4</v>
      </c>
      <c r="O80" s="4">
        <v>0.73299999999999998</v>
      </c>
      <c r="P80" s="6">
        <v>8.3000000000000004E-2</v>
      </c>
      <c r="Q80" s="5">
        <v>37926</v>
      </c>
      <c r="R80" s="7">
        <v>3331</v>
      </c>
    </row>
    <row r="81" spans="1:18" s="8" customFormat="1" ht="30" customHeight="1">
      <c r="A81" s="9" t="s">
        <v>65</v>
      </c>
      <c r="B81" s="10">
        <v>2025</v>
      </c>
      <c r="C81" s="10" t="s">
        <v>49</v>
      </c>
      <c r="D81" s="10" t="s">
        <v>66</v>
      </c>
      <c r="E81" s="4" t="s">
        <v>21</v>
      </c>
      <c r="F81" s="10">
        <v>0.5</v>
      </c>
      <c r="G81" s="10">
        <v>0.2</v>
      </c>
      <c r="H81" s="5">
        <v>2769</v>
      </c>
      <c r="I81" s="5">
        <v>2721</v>
      </c>
      <c r="J81" s="5">
        <v>419</v>
      </c>
      <c r="K81" s="6">
        <v>0.86699999999999999</v>
      </c>
      <c r="L81" s="6">
        <v>0.55400000000000005</v>
      </c>
      <c r="M81" s="6">
        <v>0.313</v>
      </c>
      <c r="N81" s="4">
        <v>3370.3</v>
      </c>
      <c r="O81" s="4">
        <v>0.82199999999999995</v>
      </c>
      <c r="P81" s="6">
        <v>8.6999999999999994E-2</v>
      </c>
      <c r="Q81" s="5">
        <v>40429</v>
      </c>
      <c r="R81" s="7">
        <v>4064</v>
      </c>
    </row>
    <row r="82" spans="1:18" s="8" customFormat="1" ht="30" customHeight="1">
      <c r="A82" s="2" t="s">
        <v>67</v>
      </c>
      <c r="B82" s="3">
        <v>2022</v>
      </c>
      <c r="C82" s="3" t="s">
        <v>49</v>
      </c>
      <c r="D82" s="3" t="s">
        <v>68</v>
      </c>
      <c r="E82" s="4" t="s">
        <v>21</v>
      </c>
      <c r="F82" s="3">
        <v>0</v>
      </c>
      <c r="G82" s="3">
        <v>0</v>
      </c>
      <c r="H82" s="5">
        <v>4052.8</v>
      </c>
      <c r="I82" s="5">
        <v>3831.4349999999999</v>
      </c>
      <c r="J82" s="5">
        <v>815.7</v>
      </c>
      <c r="K82" s="6">
        <v>0.80400000000000005</v>
      </c>
      <c r="L82" s="6">
        <v>0.48399999999999999</v>
      </c>
      <c r="M82" s="6">
        <v>0.32</v>
      </c>
      <c r="N82" s="4">
        <v>6422.3</v>
      </c>
      <c r="O82" s="4">
        <v>0.63100000000000001</v>
      </c>
      <c r="P82" s="6">
        <v>0.114</v>
      </c>
      <c r="Q82" s="5">
        <v>16379.145</v>
      </c>
      <c r="R82" s="7">
        <v>4853.9620000000004</v>
      </c>
    </row>
    <row r="83" spans="1:18" s="8" customFormat="1" ht="30" customHeight="1">
      <c r="A83" s="9" t="s">
        <v>67</v>
      </c>
      <c r="B83" s="10">
        <v>2023</v>
      </c>
      <c r="C83" s="10" t="s">
        <v>49</v>
      </c>
      <c r="D83" s="10" t="s">
        <v>68</v>
      </c>
      <c r="E83" s="4" t="s">
        <v>21</v>
      </c>
      <c r="F83" s="10">
        <v>0</v>
      </c>
      <c r="G83" s="10">
        <v>0</v>
      </c>
      <c r="H83" s="5">
        <v>4265.6000000000004</v>
      </c>
      <c r="I83" s="5">
        <v>4151.0219999999999</v>
      </c>
      <c r="J83" s="5">
        <v>762.7</v>
      </c>
      <c r="K83" s="6">
        <v>0.82499999999999996</v>
      </c>
      <c r="L83" s="6">
        <v>0.499</v>
      </c>
      <c r="M83" s="6">
        <v>0.32600000000000001</v>
      </c>
      <c r="N83" s="4">
        <v>6956.7</v>
      </c>
      <c r="O83" s="4">
        <v>0.61299999999999999</v>
      </c>
      <c r="P83" s="6">
        <v>5.2999999999999999E-2</v>
      </c>
      <c r="Q83" s="5">
        <v>17619.123</v>
      </c>
      <c r="R83" s="7">
        <v>5616.2889999999998</v>
      </c>
    </row>
    <row r="84" spans="1:18" s="8" customFormat="1" ht="30" customHeight="1">
      <c r="A84" s="2" t="s">
        <v>67</v>
      </c>
      <c r="B84" s="3">
        <v>2024</v>
      </c>
      <c r="C84" s="3" t="s">
        <v>49</v>
      </c>
      <c r="D84" s="3" t="s">
        <v>68</v>
      </c>
      <c r="E84" s="4" t="s">
        <v>21</v>
      </c>
      <c r="F84" s="3">
        <v>0.375</v>
      </c>
      <c r="G84" s="3">
        <v>0.1</v>
      </c>
      <c r="H84" s="5">
        <v>4410.3999999999996</v>
      </c>
      <c r="I84" s="5">
        <v>4295.1480000000001</v>
      </c>
      <c r="J84" s="5">
        <v>759</v>
      </c>
      <c r="K84" s="6">
        <v>0.83</v>
      </c>
      <c r="L84" s="6">
        <v>0.51</v>
      </c>
      <c r="M84" s="6">
        <v>0.32</v>
      </c>
      <c r="N84" s="4">
        <v>6931.6</v>
      </c>
      <c r="O84" s="4">
        <v>0.63600000000000001</v>
      </c>
      <c r="P84" s="6">
        <v>3.4000000000000002E-2</v>
      </c>
      <c r="Q84" s="5">
        <v>19245.415000000001</v>
      </c>
      <c r="R84" s="7">
        <v>6288.9179999999997</v>
      </c>
    </row>
    <row r="85" spans="1:18" s="8" customFormat="1" ht="30" customHeight="1">
      <c r="A85" s="9" t="s">
        <v>67</v>
      </c>
      <c r="B85" s="10">
        <v>2025</v>
      </c>
      <c r="C85" s="10" t="s">
        <v>49</v>
      </c>
      <c r="D85" s="10" t="s">
        <v>68</v>
      </c>
      <c r="E85" s="4" t="s">
        <v>21</v>
      </c>
      <c r="F85" s="10">
        <v>0.375</v>
      </c>
      <c r="G85" s="10">
        <v>0.1</v>
      </c>
      <c r="H85" s="5">
        <v>4580.1000000000004</v>
      </c>
      <c r="I85" s="5">
        <v>4438.9219999999996</v>
      </c>
      <c r="J85" s="5">
        <v>788.3</v>
      </c>
      <c r="K85" s="6">
        <v>0.83199999999999996</v>
      </c>
      <c r="L85" s="6">
        <v>0.504</v>
      </c>
      <c r="M85" s="6">
        <v>0.32800000000000001</v>
      </c>
      <c r="N85" s="4">
        <v>6868.2</v>
      </c>
      <c r="O85" s="4">
        <v>0.66700000000000004</v>
      </c>
      <c r="P85" s="6">
        <v>3.7999999999999999E-2</v>
      </c>
      <c r="Q85" s="5">
        <v>19713.810000000001</v>
      </c>
      <c r="R85" s="7">
        <v>6650.4870000000001</v>
      </c>
    </row>
    <row r="86" spans="1:18" s="8" customFormat="1" ht="30" customHeight="1">
      <c r="A86" s="2" t="s">
        <v>69</v>
      </c>
      <c r="B86" s="3">
        <v>2022</v>
      </c>
      <c r="C86" s="3" t="s">
        <v>49</v>
      </c>
      <c r="D86" s="3" t="s">
        <v>70</v>
      </c>
      <c r="E86" s="4" t="s">
        <v>21</v>
      </c>
      <c r="F86" s="3">
        <v>0</v>
      </c>
      <c r="G86" s="3">
        <v>0</v>
      </c>
      <c r="H86" s="5">
        <v>1009.2</v>
      </c>
      <c r="I86" s="5">
        <v>923.5</v>
      </c>
      <c r="J86" s="5">
        <v>-14.3</v>
      </c>
      <c r="K86" s="6">
        <v>0.996</v>
      </c>
      <c r="L86" s="6">
        <v>0.71799999999999997</v>
      </c>
      <c r="M86" s="6">
        <v>0.27800000000000002</v>
      </c>
      <c r="N86" s="4">
        <v>3830.4</v>
      </c>
      <c r="O86" s="4">
        <v>0.26300000000000001</v>
      </c>
      <c r="P86" s="6">
        <v>0.11600000000000001</v>
      </c>
      <c r="Q86" s="5">
        <v>3802.348</v>
      </c>
      <c r="R86" s="7">
        <v>896.96</v>
      </c>
    </row>
    <row r="87" spans="1:18" s="8" customFormat="1" ht="30" customHeight="1">
      <c r="A87" s="9" t="s">
        <v>69</v>
      </c>
      <c r="B87" s="10">
        <v>2023</v>
      </c>
      <c r="C87" s="10" t="s">
        <v>49</v>
      </c>
      <c r="D87" s="10" t="s">
        <v>70</v>
      </c>
      <c r="E87" s="4" t="s">
        <v>21</v>
      </c>
      <c r="F87" s="10">
        <v>0</v>
      </c>
      <c r="G87" s="10">
        <v>0</v>
      </c>
      <c r="H87" s="5">
        <v>1168.3</v>
      </c>
      <c r="I87" s="5">
        <v>1056.2</v>
      </c>
      <c r="J87" s="5">
        <v>11.6</v>
      </c>
      <c r="K87" s="6">
        <v>0.99399999999999999</v>
      </c>
      <c r="L87" s="6">
        <v>0.71599999999999997</v>
      </c>
      <c r="M87" s="6">
        <v>0.27800000000000002</v>
      </c>
      <c r="N87" s="4">
        <v>3941.2</v>
      </c>
      <c r="O87" s="4">
        <v>0.29599999999999999</v>
      </c>
      <c r="P87" s="6">
        <v>0.158</v>
      </c>
      <c r="Q87" s="5">
        <v>4099.0290000000005</v>
      </c>
      <c r="R87" s="7">
        <v>891.1</v>
      </c>
    </row>
    <row r="88" spans="1:18" s="8" customFormat="1" ht="30" customHeight="1">
      <c r="A88" s="2" t="s">
        <v>69</v>
      </c>
      <c r="B88" s="3">
        <v>2024</v>
      </c>
      <c r="C88" s="3" t="s">
        <v>49</v>
      </c>
      <c r="D88" s="3" t="s">
        <v>70</v>
      </c>
      <c r="E88" s="4" t="s">
        <v>21</v>
      </c>
      <c r="F88" s="3">
        <v>0.25</v>
      </c>
      <c r="G88" s="3">
        <v>0.1</v>
      </c>
      <c r="H88" s="5">
        <v>1274.3</v>
      </c>
      <c r="I88" s="5">
        <v>1156.3</v>
      </c>
      <c r="J88" s="5">
        <v>100.8</v>
      </c>
      <c r="K88" s="6">
        <v>0.94</v>
      </c>
      <c r="L88" s="6">
        <v>0.67700000000000005</v>
      </c>
      <c r="M88" s="6">
        <v>0.26300000000000001</v>
      </c>
      <c r="N88" s="4">
        <v>4319.3</v>
      </c>
      <c r="O88" s="4">
        <v>0.29499999999999998</v>
      </c>
      <c r="P88" s="6">
        <v>9.0999999999999998E-2</v>
      </c>
      <c r="Q88" s="5">
        <v>4538.3310000000001</v>
      </c>
      <c r="R88" s="7">
        <v>989</v>
      </c>
    </row>
    <row r="89" spans="1:18" s="8" customFormat="1" ht="30" customHeight="1">
      <c r="A89" s="9" t="s">
        <v>69</v>
      </c>
      <c r="B89" s="10">
        <v>2025</v>
      </c>
      <c r="C89" s="10" t="s">
        <v>49</v>
      </c>
      <c r="D89" s="10" t="s">
        <v>70</v>
      </c>
      <c r="E89" s="4" t="s">
        <v>21</v>
      </c>
      <c r="F89" s="10">
        <v>0.25</v>
      </c>
      <c r="G89" s="10">
        <v>0.1</v>
      </c>
      <c r="H89" s="5">
        <v>2093.5</v>
      </c>
      <c r="I89" s="5">
        <v>1452.7</v>
      </c>
      <c r="J89" s="5">
        <v>136.69999999999999</v>
      </c>
      <c r="K89" s="6">
        <v>0.92500000000000004</v>
      </c>
      <c r="L89" s="6">
        <v>0.67700000000000005</v>
      </c>
      <c r="M89" s="6">
        <v>0.248</v>
      </c>
      <c r="N89" s="4">
        <v>4418.8999999999996</v>
      </c>
      <c r="O89" s="4">
        <v>0.47399999999999998</v>
      </c>
      <c r="P89" s="6">
        <v>0.64300000000000002</v>
      </c>
      <c r="Q89" s="5">
        <v>5435.99</v>
      </c>
      <c r="R89" s="7">
        <v>1078.0999999999999</v>
      </c>
    </row>
    <row r="90" spans="1:18" s="8" customFormat="1" ht="30" customHeight="1">
      <c r="A90" s="2" t="s">
        <v>71</v>
      </c>
      <c r="B90" s="3">
        <v>2022</v>
      </c>
      <c r="C90" s="3" t="s">
        <v>49</v>
      </c>
      <c r="D90" s="3" t="s">
        <v>72</v>
      </c>
      <c r="E90" s="4" t="s">
        <v>21</v>
      </c>
      <c r="F90" s="3">
        <v>0</v>
      </c>
      <c r="G90" s="3">
        <v>0</v>
      </c>
      <c r="H90" s="5">
        <v>4839.5889999999999</v>
      </c>
      <c r="I90" s="5">
        <v>4624</v>
      </c>
      <c r="J90" s="5">
        <v>153.72200000000001</v>
      </c>
      <c r="K90" s="6">
        <v>0.96399999999999997</v>
      </c>
      <c r="L90" s="6">
        <v>0.70799999999999996</v>
      </c>
      <c r="M90" s="6">
        <v>0.25600000000000001</v>
      </c>
      <c r="N90" s="4">
        <v>11238</v>
      </c>
      <c r="O90" s="4">
        <v>0.43099999999999999</v>
      </c>
      <c r="P90" s="6">
        <v>0.04</v>
      </c>
      <c r="Q90" s="5">
        <v>13676.159</v>
      </c>
      <c r="R90" s="7">
        <v>1024.175</v>
      </c>
    </row>
    <row r="91" spans="1:18" s="8" customFormat="1" ht="30" customHeight="1">
      <c r="A91" s="9" t="s">
        <v>71</v>
      </c>
      <c r="B91" s="10">
        <v>2023</v>
      </c>
      <c r="C91" s="10" t="s">
        <v>49</v>
      </c>
      <c r="D91" s="10" t="s">
        <v>72</v>
      </c>
      <c r="E91" s="4" t="s">
        <v>21</v>
      </c>
      <c r="F91" s="10">
        <v>0.125</v>
      </c>
      <c r="G91" s="10">
        <v>0</v>
      </c>
      <c r="H91" s="5">
        <v>5173.2470000000003</v>
      </c>
      <c r="I91" s="5">
        <v>4960</v>
      </c>
      <c r="J91" s="5">
        <v>113.79</v>
      </c>
      <c r="K91" s="6">
        <v>0.98899999999999999</v>
      </c>
      <c r="L91" s="6">
        <v>0.73199999999999998</v>
      </c>
      <c r="M91" s="6">
        <v>0.25700000000000001</v>
      </c>
      <c r="N91" s="4">
        <v>11533</v>
      </c>
      <c r="O91" s="4">
        <v>0.44900000000000001</v>
      </c>
      <c r="P91" s="6">
        <v>6.9000000000000006E-2</v>
      </c>
      <c r="Q91" s="5">
        <v>14728.413</v>
      </c>
      <c r="R91" s="7">
        <v>1024.175</v>
      </c>
    </row>
    <row r="92" spans="1:18" s="8" customFormat="1" ht="30" customHeight="1">
      <c r="A92" s="2" t="s">
        <v>71</v>
      </c>
      <c r="B92" s="3">
        <v>2024</v>
      </c>
      <c r="C92" s="3" t="s">
        <v>49</v>
      </c>
      <c r="D92" s="3" t="s">
        <v>72</v>
      </c>
      <c r="E92" s="4" t="s">
        <v>21</v>
      </c>
      <c r="F92" s="3">
        <v>0.125</v>
      </c>
      <c r="G92" s="3">
        <v>0</v>
      </c>
      <c r="H92" s="5">
        <v>5605.9669999999996</v>
      </c>
      <c r="I92" s="5">
        <v>5360</v>
      </c>
      <c r="J92" s="5">
        <v>158.6</v>
      </c>
      <c r="K92" s="6">
        <v>0.99099999999999999</v>
      </c>
      <c r="L92" s="6">
        <v>0.73</v>
      </c>
      <c r="M92" s="6">
        <v>0.26100000000000001</v>
      </c>
      <c r="N92" s="4">
        <v>12094</v>
      </c>
      <c r="O92" s="4">
        <v>0.46400000000000002</v>
      </c>
      <c r="P92" s="6">
        <v>8.4000000000000005E-2</v>
      </c>
      <c r="Q92" s="5">
        <v>15721.531999999999</v>
      </c>
      <c r="R92" s="7">
        <v>1065.9369999999999</v>
      </c>
    </row>
    <row r="93" spans="1:18" s="8" customFormat="1" ht="30" customHeight="1">
      <c r="A93" s="9" t="s">
        <v>71</v>
      </c>
      <c r="B93" s="10">
        <v>2025</v>
      </c>
      <c r="C93" s="10" t="s">
        <v>49</v>
      </c>
      <c r="D93" s="10" t="s">
        <v>72</v>
      </c>
      <c r="E93" s="4" t="s">
        <v>21</v>
      </c>
      <c r="F93" s="10">
        <v>0.25</v>
      </c>
      <c r="G93" s="10">
        <v>0</v>
      </c>
      <c r="H93" s="5">
        <v>5992.3059999999996</v>
      </c>
      <c r="I93" s="5">
        <v>5778</v>
      </c>
      <c r="J93" s="5">
        <v>165.8</v>
      </c>
      <c r="K93" s="6">
        <v>0.91100000000000003</v>
      </c>
      <c r="L93" s="6">
        <v>0.65800000000000003</v>
      </c>
      <c r="M93" s="6">
        <v>0.253</v>
      </c>
      <c r="N93" s="4">
        <v>11984</v>
      </c>
      <c r="O93" s="4">
        <v>0.5</v>
      </c>
      <c r="P93" s="6">
        <v>6.9000000000000006E-2</v>
      </c>
      <c r="Q93" s="5">
        <v>16552.238000000001</v>
      </c>
      <c r="R93" s="7">
        <v>1079.2570000000001</v>
      </c>
    </row>
    <row r="94" spans="1:18" s="8" customFormat="1" ht="30" customHeight="1">
      <c r="A94" s="2" t="s">
        <v>73</v>
      </c>
      <c r="B94" s="3">
        <v>2022</v>
      </c>
      <c r="C94" s="3" t="s">
        <v>74</v>
      </c>
      <c r="D94" s="3" t="s">
        <v>75</v>
      </c>
      <c r="E94" s="4" t="s">
        <v>32</v>
      </c>
      <c r="F94" s="3">
        <v>0</v>
      </c>
      <c r="G94" s="3">
        <v>0</v>
      </c>
      <c r="H94" s="5">
        <v>2217.9</v>
      </c>
      <c r="I94" s="5">
        <v>2250.1999999999998</v>
      </c>
      <c r="J94" s="5">
        <v>509.7</v>
      </c>
      <c r="K94" s="6">
        <v>0.96799999999999997</v>
      </c>
      <c r="L94" s="6">
        <v>0.70599999999999996</v>
      </c>
      <c r="M94" s="6">
        <v>0.26200000000000001</v>
      </c>
      <c r="N94" s="4">
        <v>13000</v>
      </c>
      <c r="O94" s="4">
        <v>0.17100000000000001</v>
      </c>
      <c r="P94" s="6">
        <v>4.7E-2</v>
      </c>
      <c r="Q94" s="5">
        <v>6208.8</v>
      </c>
      <c r="R94" s="7">
        <v>887</v>
      </c>
    </row>
    <row r="95" spans="1:18" s="8" customFormat="1" ht="30" customHeight="1">
      <c r="A95" s="9" t="s">
        <v>73</v>
      </c>
      <c r="B95" s="10">
        <v>2023</v>
      </c>
      <c r="C95" s="10" t="s">
        <v>74</v>
      </c>
      <c r="D95" s="10" t="s">
        <v>75</v>
      </c>
      <c r="E95" s="4" t="s">
        <v>32</v>
      </c>
      <c r="F95" s="10">
        <v>0.125</v>
      </c>
      <c r="G95" s="10">
        <v>0</v>
      </c>
      <c r="H95" s="5">
        <v>3502.6</v>
      </c>
      <c r="I95" s="5">
        <v>3486.1</v>
      </c>
      <c r="J95" s="5">
        <v>596.5</v>
      </c>
      <c r="K95" s="6">
        <v>0.88700000000000001</v>
      </c>
      <c r="L95" s="6">
        <v>0.63900000000000001</v>
      </c>
      <c r="M95" s="6">
        <v>0.248</v>
      </c>
      <c r="N95" s="4">
        <v>13000</v>
      </c>
      <c r="O95" s="4">
        <v>0.26900000000000002</v>
      </c>
      <c r="P95" s="6">
        <v>0.57899999999999996</v>
      </c>
      <c r="Q95" s="5">
        <v>7096.2</v>
      </c>
      <c r="R95" s="7">
        <v>992.8</v>
      </c>
    </row>
    <row r="96" spans="1:18" s="8" customFormat="1" ht="30" customHeight="1">
      <c r="A96" s="2" t="s">
        <v>73</v>
      </c>
      <c r="B96" s="3">
        <v>2024</v>
      </c>
      <c r="C96" s="3" t="s">
        <v>74</v>
      </c>
      <c r="D96" s="3" t="s">
        <v>75</v>
      </c>
      <c r="E96" s="4" t="s">
        <v>32</v>
      </c>
      <c r="F96" s="3">
        <v>0.375</v>
      </c>
      <c r="G96" s="3">
        <v>0.1</v>
      </c>
      <c r="H96" s="5">
        <v>4745.2</v>
      </c>
      <c r="I96" s="5">
        <v>4553.3999999999996</v>
      </c>
      <c r="J96" s="5">
        <v>976.7</v>
      </c>
      <c r="K96" s="6">
        <v>0.77400000000000002</v>
      </c>
      <c r="L96" s="6">
        <v>0.55400000000000005</v>
      </c>
      <c r="M96" s="6">
        <v>0.22</v>
      </c>
      <c r="N96" s="4">
        <v>13500</v>
      </c>
      <c r="O96" s="4">
        <v>0.35099999999999998</v>
      </c>
      <c r="P96" s="6">
        <v>0.35499999999999998</v>
      </c>
      <c r="Q96" s="5">
        <v>7944.2</v>
      </c>
      <c r="R96" s="7">
        <v>1370.7</v>
      </c>
    </row>
    <row r="97" spans="1:18" s="8" customFormat="1" ht="30" customHeight="1">
      <c r="A97" s="9" t="s">
        <v>73</v>
      </c>
      <c r="B97" s="10">
        <v>2025</v>
      </c>
      <c r="C97" s="10" t="s">
        <v>74</v>
      </c>
      <c r="D97" s="10" t="s">
        <v>75</v>
      </c>
      <c r="E97" s="4" t="s">
        <v>32</v>
      </c>
      <c r="F97" s="10">
        <v>0.375</v>
      </c>
      <c r="G97" s="10">
        <v>0.1</v>
      </c>
      <c r="H97" s="5">
        <v>4586.3</v>
      </c>
      <c r="I97" s="5">
        <v>4979.3</v>
      </c>
      <c r="J97" s="5">
        <v>1086.3</v>
      </c>
      <c r="K97" s="6">
        <v>0.80100000000000005</v>
      </c>
      <c r="L97" s="6">
        <v>0.59199999999999997</v>
      </c>
      <c r="M97" s="6">
        <v>0.20899999999999999</v>
      </c>
      <c r="N97" s="4">
        <v>13500</v>
      </c>
      <c r="O97" s="4">
        <v>0.34</v>
      </c>
      <c r="P97" s="6">
        <v>-3.3000000000000002E-2</v>
      </c>
      <c r="Q97" s="5">
        <v>9022.7999999999993</v>
      </c>
      <c r="R97" s="7">
        <v>1443.6</v>
      </c>
    </row>
    <row r="98" spans="1:18" s="8" customFormat="1" ht="30" customHeight="1">
      <c r="A98" s="2" t="s">
        <v>76</v>
      </c>
      <c r="B98" s="3">
        <v>2022</v>
      </c>
      <c r="C98" s="3" t="s">
        <v>74</v>
      </c>
      <c r="D98" s="3" t="s">
        <v>77</v>
      </c>
      <c r="E98" s="4" t="s">
        <v>27</v>
      </c>
      <c r="F98" s="3">
        <v>0.125</v>
      </c>
      <c r="G98" s="3">
        <v>0.1</v>
      </c>
      <c r="H98" s="5">
        <v>5246.3</v>
      </c>
      <c r="I98" s="12">
        <v>4848.3999999999996</v>
      </c>
      <c r="J98" s="5">
        <v>822.9</v>
      </c>
      <c r="K98" s="6">
        <v>0.79</v>
      </c>
      <c r="L98" s="6">
        <v>0.47</v>
      </c>
      <c r="M98" s="6">
        <v>0.32</v>
      </c>
      <c r="N98" s="4">
        <v>1808</v>
      </c>
      <c r="O98" s="4">
        <v>2.9020000000000001</v>
      </c>
      <c r="P98" s="11">
        <v>0.14699999999999999</v>
      </c>
      <c r="Q98" s="5">
        <v>11713</v>
      </c>
      <c r="R98" s="7">
        <v>2955</v>
      </c>
    </row>
    <row r="99" spans="1:18" s="8" customFormat="1" ht="30" customHeight="1">
      <c r="A99" s="9" t="s">
        <v>76</v>
      </c>
      <c r="B99" s="10">
        <v>2023</v>
      </c>
      <c r="C99" s="10" t="s">
        <v>74</v>
      </c>
      <c r="D99" s="10" t="s">
        <v>77</v>
      </c>
      <c r="E99" s="4" t="s">
        <v>27</v>
      </c>
      <c r="F99" s="10">
        <v>0.625</v>
      </c>
      <c r="G99" s="10">
        <v>0.4</v>
      </c>
      <c r="H99" s="12">
        <v>5601.4</v>
      </c>
      <c r="I99" s="5">
        <v>5442.4</v>
      </c>
      <c r="J99" s="12">
        <v>1251</v>
      </c>
      <c r="K99" s="11">
        <v>0.71</v>
      </c>
      <c r="L99" s="6">
        <v>0.39</v>
      </c>
      <c r="M99" s="6">
        <v>0.32</v>
      </c>
      <c r="N99" s="4">
        <v>2144</v>
      </c>
      <c r="O99" s="4">
        <v>2.613</v>
      </c>
      <c r="P99" s="11">
        <v>6.8000000000000005E-2</v>
      </c>
      <c r="Q99" s="5">
        <v>13665.4</v>
      </c>
      <c r="R99" s="7">
        <v>3882.1</v>
      </c>
    </row>
    <row r="100" spans="1:18" s="8" customFormat="1" ht="30" customHeight="1">
      <c r="A100" s="2" t="s">
        <v>76</v>
      </c>
      <c r="B100" s="3">
        <v>2024</v>
      </c>
      <c r="C100" s="3" t="s">
        <v>74</v>
      </c>
      <c r="D100" s="3" t="s">
        <v>77</v>
      </c>
      <c r="E100" s="4" t="s">
        <v>27</v>
      </c>
      <c r="F100" s="3">
        <v>0.75</v>
      </c>
      <c r="G100" s="3">
        <v>0.5</v>
      </c>
      <c r="H100" s="12">
        <v>6164.1</v>
      </c>
      <c r="I100" s="12">
        <v>5678.1</v>
      </c>
      <c r="J100" s="12">
        <v>1236</v>
      </c>
      <c r="K100" s="11">
        <v>0.748</v>
      </c>
      <c r="L100" s="6">
        <v>0.43099999999999999</v>
      </c>
      <c r="M100" s="6">
        <v>0.317</v>
      </c>
      <c r="N100" s="14">
        <v>2492</v>
      </c>
      <c r="O100" s="14">
        <v>2.4740000000000002</v>
      </c>
      <c r="P100" s="6">
        <v>0.1</v>
      </c>
      <c r="Q100" s="5">
        <v>15419</v>
      </c>
      <c r="R100" s="7">
        <v>4606.8</v>
      </c>
    </row>
    <row r="101" spans="1:18" s="8" customFormat="1" ht="30" customHeight="1">
      <c r="A101" s="9" t="s">
        <v>76</v>
      </c>
      <c r="B101" s="10">
        <v>2025</v>
      </c>
      <c r="C101" s="10" t="s">
        <v>74</v>
      </c>
      <c r="D101" s="10" t="s">
        <v>77</v>
      </c>
      <c r="E101" s="4" t="s">
        <v>27</v>
      </c>
      <c r="F101" s="10">
        <v>0.75</v>
      </c>
      <c r="G101" s="10">
        <v>0.5</v>
      </c>
      <c r="H101" s="12">
        <v>6100.7</v>
      </c>
      <c r="I101" s="12">
        <v>6064.8</v>
      </c>
      <c r="J101" s="12">
        <v>1169.0999999999999</v>
      </c>
      <c r="K101" s="6">
        <v>0.77300000000000002</v>
      </c>
      <c r="L101" s="6">
        <v>0.44500000000000001</v>
      </c>
      <c r="M101" s="6">
        <v>0.32800000000000001</v>
      </c>
      <c r="N101" s="14">
        <v>2658</v>
      </c>
      <c r="O101" s="4">
        <v>2.2949999999999999</v>
      </c>
      <c r="P101" s="6">
        <v>-0.01</v>
      </c>
      <c r="Q101" s="12">
        <v>16193.3</v>
      </c>
      <c r="R101" s="13">
        <v>4871.3999999999996</v>
      </c>
    </row>
    <row r="102" spans="1:18" s="8" customFormat="1" ht="30" customHeight="1">
      <c r="A102" s="2" t="s">
        <v>78</v>
      </c>
      <c r="B102" s="3">
        <v>2022</v>
      </c>
      <c r="C102" s="3" t="s">
        <v>74</v>
      </c>
      <c r="D102" s="3" t="s">
        <v>79</v>
      </c>
      <c r="E102" s="4" t="s">
        <v>27</v>
      </c>
      <c r="F102" s="3">
        <v>0</v>
      </c>
      <c r="G102" s="3">
        <v>0</v>
      </c>
      <c r="H102" s="5">
        <v>4355.3999999999996</v>
      </c>
      <c r="I102" s="5">
        <v>4273.3</v>
      </c>
      <c r="J102" s="5">
        <v>360.9</v>
      </c>
      <c r="K102" s="6">
        <v>0.91100000000000003</v>
      </c>
      <c r="L102" s="6">
        <v>0.41499999999999998</v>
      </c>
      <c r="M102" s="6">
        <v>0.496</v>
      </c>
      <c r="N102" s="4">
        <v>3000</v>
      </c>
      <c r="O102" s="4">
        <v>1.452</v>
      </c>
      <c r="P102" s="6">
        <v>3.6999999999999998E-2</v>
      </c>
      <c r="Q102" s="5">
        <v>10363</v>
      </c>
      <c r="R102" s="7">
        <v>2635</v>
      </c>
    </row>
    <row r="103" spans="1:18" s="8" customFormat="1" ht="30" customHeight="1">
      <c r="A103" s="9" t="s">
        <v>78</v>
      </c>
      <c r="B103" s="10">
        <v>2023</v>
      </c>
      <c r="C103" s="10" t="s">
        <v>74</v>
      </c>
      <c r="D103" s="10" t="s">
        <v>79</v>
      </c>
      <c r="E103" s="4" t="s">
        <v>27</v>
      </c>
      <c r="F103" s="10">
        <v>0.375</v>
      </c>
      <c r="G103" s="10">
        <v>0.1</v>
      </c>
      <c r="H103" s="5">
        <v>4598.2</v>
      </c>
      <c r="I103" s="5">
        <v>4483.2</v>
      </c>
      <c r="J103" s="5">
        <v>492.3</v>
      </c>
      <c r="K103" s="6">
        <v>0.89800000000000002</v>
      </c>
      <c r="L103" s="6">
        <v>0.41699999999999998</v>
      </c>
      <c r="M103" s="6">
        <v>0.48099999999999998</v>
      </c>
      <c r="N103" s="4">
        <v>3000</v>
      </c>
      <c r="O103" s="4">
        <v>1.5329999999999999</v>
      </c>
      <c r="P103" s="6">
        <v>5.6000000000000001E-2</v>
      </c>
      <c r="Q103" s="5">
        <v>11060.5</v>
      </c>
      <c r="R103" s="7">
        <v>3296.7</v>
      </c>
    </row>
    <row r="104" spans="1:18" s="8" customFormat="1" ht="30" customHeight="1">
      <c r="A104" s="2" t="s">
        <v>78</v>
      </c>
      <c r="B104" s="3">
        <v>2024</v>
      </c>
      <c r="C104" s="3" t="s">
        <v>74</v>
      </c>
      <c r="D104" s="3" t="s">
        <v>79</v>
      </c>
      <c r="E104" s="4" t="s">
        <v>27</v>
      </c>
      <c r="F104" s="3">
        <v>0.625</v>
      </c>
      <c r="G104" s="3">
        <v>0.2</v>
      </c>
      <c r="H104" s="5">
        <v>4703.7</v>
      </c>
      <c r="I104" s="5">
        <v>4672.5</v>
      </c>
      <c r="J104" s="5">
        <v>553.5</v>
      </c>
      <c r="K104" s="6">
        <v>0.89200000000000002</v>
      </c>
      <c r="L104" s="6">
        <v>0.41899999999999998</v>
      </c>
      <c r="M104" s="6">
        <v>0.47299999999999998</v>
      </c>
      <c r="N104" s="4">
        <v>3000</v>
      </c>
      <c r="O104" s="4">
        <v>1.5680000000000001</v>
      </c>
      <c r="P104" s="6">
        <v>2.3E-2</v>
      </c>
      <c r="Q104" s="5">
        <v>11240.8</v>
      </c>
      <c r="R104" s="7">
        <v>3689.9</v>
      </c>
    </row>
    <row r="105" spans="1:18" s="8" customFormat="1" ht="30" customHeight="1">
      <c r="A105" s="9" t="s">
        <v>78</v>
      </c>
      <c r="B105" s="10">
        <v>2025</v>
      </c>
      <c r="C105" s="10" t="s">
        <v>74</v>
      </c>
      <c r="D105" s="10" t="s">
        <v>79</v>
      </c>
      <c r="E105" s="4" t="s">
        <v>27</v>
      </c>
      <c r="F105" s="10">
        <v>0.75</v>
      </c>
      <c r="G105" s="10">
        <v>0.2</v>
      </c>
      <c r="H105" s="5">
        <v>4979</v>
      </c>
      <c r="I105" s="5">
        <v>4883.7</v>
      </c>
      <c r="J105" s="5">
        <v>613.9</v>
      </c>
      <c r="K105" s="6">
        <v>0.878</v>
      </c>
      <c r="L105" s="6">
        <v>0.40400000000000003</v>
      </c>
      <c r="M105" s="6">
        <v>0.47399999999999998</v>
      </c>
      <c r="N105" s="4">
        <v>3000</v>
      </c>
      <c r="O105" s="4">
        <v>1.66</v>
      </c>
      <c r="P105" s="6">
        <v>5.8999999999999997E-2</v>
      </c>
      <c r="Q105" s="5">
        <v>12189.2</v>
      </c>
      <c r="R105" s="7">
        <v>3947.9</v>
      </c>
    </row>
    <row r="106" spans="1:18" s="8" customFormat="1" ht="30" customHeight="1">
      <c r="A106" s="2" t="s">
        <v>80</v>
      </c>
      <c r="B106" s="3">
        <v>2022</v>
      </c>
      <c r="C106" s="3" t="s">
        <v>74</v>
      </c>
      <c r="D106" s="3" t="s">
        <v>81</v>
      </c>
      <c r="E106" s="4" t="s">
        <v>21</v>
      </c>
      <c r="F106" s="3">
        <v>0</v>
      </c>
      <c r="G106" s="3">
        <v>0</v>
      </c>
      <c r="H106" s="5">
        <v>1666.489</v>
      </c>
      <c r="I106" s="5">
        <v>1515.7</v>
      </c>
      <c r="J106" s="5">
        <v>357.2</v>
      </c>
      <c r="K106" s="6">
        <v>0.67600000000000005</v>
      </c>
      <c r="L106" s="6">
        <v>0.39700000000000002</v>
      </c>
      <c r="M106" s="6">
        <v>0.28000000000000003</v>
      </c>
      <c r="N106" s="4">
        <v>4721</v>
      </c>
      <c r="O106" s="4">
        <v>0.35299999999999998</v>
      </c>
      <c r="P106" s="6">
        <v>0.161</v>
      </c>
      <c r="Q106" s="5">
        <v>7586.2650000000003</v>
      </c>
      <c r="R106" s="7">
        <v>2018.6</v>
      </c>
    </row>
    <row r="107" spans="1:18" s="8" customFormat="1" ht="30" customHeight="1">
      <c r="A107" s="9" t="s">
        <v>80</v>
      </c>
      <c r="B107" s="10">
        <v>2023</v>
      </c>
      <c r="C107" s="10" t="s">
        <v>74</v>
      </c>
      <c r="D107" s="10" t="s">
        <v>81</v>
      </c>
      <c r="E107" s="4" t="s">
        <v>21</v>
      </c>
      <c r="F107" s="10">
        <v>0.375</v>
      </c>
      <c r="G107" s="10">
        <v>0.2</v>
      </c>
      <c r="H107" s="5">
        <v>1694.1890000000001</v>
      </c>
      <c r="I107" s="5">
        <v>1559.1</v>
      </c>
      <c r="J107" s="5">
        <v>362.9</v>
      </c>
      <c r="K107" s="6">
        <v>0.64300000000000002</v>
      </c>
      <c r="L107" s="6">
        <v>0.377</v>
      </c>
      <c r="M107" s="6">
        <v>0.26600000000000001</v>
      </c>
      <c r="N107" s="4">
        <v>4970</v>
      </c>
      <c r="O107" s="4">
        <v>0.34100000000000003</v>
      </c>
      <c r="P107" s="6">
        <v>1.7000000000000001E-2</v>
      </c>
      <c r="Q107" s="5">
        <v>7898</v>
      </c>
      <c r="R107" s="7">
        <v>2050.8000000000002</v>
      </c>
    </row>
    <row r="108" spans="1:18" s="8" customFormat="1" ht="30" customHeight="1">
      <c r="A108" s="2" t="s">
        <v>80</v>
      </c>
      <c r="B108" s="3">
        <v>2024</v>
      </c>
      <c r="C108" s="3" t="s">
        <v>74</v>
      </c>
      <c r="D108" s="3" t="s">
        <v>81</v>
      </c>
      <c r="E108" s="4" t="s">
        <v>21</v>
      </c>
      <c r="F108" s="3">
        <v>0.375</v>
      </c>
      <c r="G108" s="3">
        <v>0.2</v>
      </c>
      <c r="H108" s="5">
        <v>1618.8409999999999</v>
      </c>
      <c r="I108" s="5">
        <v>1512.9</v>
      </c>
      <c r="J108" s="5">
        <v>409.2</v>
      </c>
      <c r="K108" s="6">
        <v>0.65500000000000003</v>
      </c>
      <c r="L108" s="6">
        <v>0.35199999999999998</v>
      </c>
      <c r="M108" s="6">
        <v>0.30199999999999999</v>
      </c>
      <c r="N108" s="4">
        <v>5236</v>
      </c>
      <c r="O108" s="4">
        <v>0.309</v>
      </c>
      <c r="P108" s="6">
        <v>-4.3999999999999997E-2</v>
      </c>
      <c r="Q108" s="5">
        <v>8084.134</v>
      </c>
      <c r="R108" s="7">
        <v>2193.6</v>
      </c>
    </row>
    <row r="109" spans="1:18" s="8" customFormat="1" ht="30" customHeight="1">
      <c r="A109" s="9" t="s">
        <v>80</v>
      </c>
      <c r="B109" s="10">
        <v>2025</v>
      </c>
      <c r="C109" s="10" t="s">
        <v>74</v>
      </c>
      <c r="D109" s="10" t="s">
        <v>81</v>
      </c>
      <c r="E109" s="4" t="s">
        <v>21</v>
      </c>
      <c r="F109" s="10">
        <v>0.375</v>
      </c>
      <c r="G109" s="10">
        <v>0.2</v>
      </c>
      <c r="H109" s="5">
        <v>1595.8230000000001</v>
      </c>
      <c r="I109" s="5">
        <v>1498.7</v>
      </c>
      <c r="J109" s="5">
        <v>332.5</v>
      </c>
      <c r="K109" s="6">
        <v>0.73099999999999998</v>
      </c>
      <c r="L109" s="6">
        <v>0.40300000000000002</v>
      </c>
      <c r="M109" s="6">
        <v>0.32800000000000001</v>
      </c>
      <c r="N109" s="4">
        <v>5511</v>
      </c>
      <c r="O109" s="4">
        <v>0.28999999999999998</v>
      </c>
      <c r="P109" s="6">
        <v>-1.4E-2</v>
      </c>
      <c r="Q109" s="5">
        <v>8090</v>
      </c>
      <c r="R109" s="7">
        <v>2213</v>
      </c>
    </row>
    <row r="110" spans="1:18" s="8" customFormat="1" ht="30" customHeight="1">
      <c r="A110" s="2" t="s">
        <v>82</v>
      </c>
      <c r="B110" s="3">
        <v>2022</v>
      </c>
      <c r="C110" s="3" t="s">
        <v>74</v>
      </c>
      <c r="D110" s="3" t="s">
        <v>34</v>
      </c>
      <c r="E110" s="4" t="s">
        <v>21</v>
      </c>
      <c r="F110" s="3">
        <v>0.375</v>
      </c>
      <c r="G110" s="3">
        <v>0.1</v>
      </c>
      <c r="H110" s="5">
        <v>917.59699999999998</v>
      </c>
      <c r="I110" s="5">
        <v>896.99199999999996</v>
      </c>
      <c r="J110" s="5">
        <v>45.588000000000001</v>
      </c>
      <c r="K110" s="6">
        <v>0.95899999999999996</v>
      </c>
      <c r="L110" s="6">
        <v>0.75700000000000001</v>
      </c>
      <c r="M110" s="6">
        <v>0.20599999999999999</v>
      </c>
      <c r="N110" s="4">
        <v>2460.1</v>
      </c>
      <c r="O110" s="4">
        <v>0.373</v>
      </c>
      <c r="P110" s="6">
        <v>4.1000000000000002E-2</v>
      </c>
      <c r="Q110" s="5">
        <v>1002.426</v>
      </c>
      <c r="R110" s="7">
        <v>300.33100000000002</v>
      </c>
    </row>
    <row r="111" spans="1:18" s="8" customFormat="1" ht="30" customHeight="1">
      <c r="A111" s="9" t="s">
        <v>82</v>
      </c>
      <c r="B111" s="10">
        <v>2023</v>
      </c>
      <c r="C111" s="10" t="s">
        <v>74</v>
      </c>
      <c r="D111" s="10" t="s">
        <v>34</v>
      </c>
      <c r="E111" s="4" t="s">
        <v>21</v>
      </c>
      <c r="F111" s="10">
        <v>0.5</v>
      </c>
      <c r="G111" s="10">
        <v>0.1</v>
      </c>
      <c r="H111" s="5">
        <v>942.89700000000005</v>
      </c>
      <c r="I111" s="5">
        <v>930.31700000000001</v>
      </c>
      <c r="J111" s="5">
        <v>-28.667000000000002</v>
      </c>
      <c r="K111" s="6">
        <v>1.0409999999999999</v>
      </c>
      <c r="L111" s="6">
        <v>0.81200000000000006</v>
      </c>
      <c r="M111" s="6">
        <v>0.22900000000000001</v>
      </c>
      <c r="N111" s="4">
        <v>2410.4</v>
      </c>
      <c r="O111" s="4">
        <v>0.39100000000000001</v>
      </c>
      <c r="P111" s="6">
        <v>2.8000000000000001E-2</v>
      </c>
      <c r="Q111" s="5">
        <v>1125.3219999999999</v>
      </c>
      <c r="R111" s="7">
        <v>300.33100000000002</v>
      </c>
    </row>
    <row r="112" spans="1:18" s="8" customFormat="1" ht="30" customHeight="1">
      <c r="A112" s="2" t="s">
        <v>82</v>
      </c>
      <c r="B112" s="3">
        <v>2024</v>
      </c>
      <c r="C112" s="3" t="s">
        <v>74</v>
      </c>
      <c r="D112" s="3" t="s">
        <v>34</v>
      </c>
      <c r="E112" s="4" t="s">
        <v>21</v>
      </c>
      <c r="F112" s="3">
        <v>0.5</v>
      </c>
      <c r="G112" s="3">
        <v>0.2</v>
      </c>
      <c r="H112" s="5">
        <v>985.74599999999998</v>
      </c>
      <c r="I112" s="5">
        <v>958.96400000000006</v>
      </c>
      <c r="J112" s="5">
        <v>58.447000000000003</v>
      </c>
      <c r="K112" s="6">
        <v>0.94699999999999995</v>
      </c>
      <c r="L112" s="6">
        <v>0.72599999999999998</v>
      </c>
      <c r="M112" s="6">
        <v>0.221</v>
      </c>
      <c r="N112" s="4">
        <v>2353.6999999999998</v>
      </c>
      <c r="O112" s="4">
        <v>0.41899999999999998</v>
      </c>
      <c r="P112" s="6">
        <v>4.4999999999999998E-2</v>
      </c>
      <c r="Q112" s="5">
        <v>1236.136</v>
      </c>
      <c r="R112" s="7">
        <v>358.31700000000001</v>
      </c>
    </row>
    <row r="113" spans="1:18" s="8" customFormat="1" ht="30" customHeight="1">
      <c r="A113" s="9" t="s">
        <v>82</v>
      </c>
      <c r="B113" s="10">
        <v>2025</v>
      </c>
      <c r="C113" s="10" t="s">
        <v>74</v>
      </c>
      <c r="D113" s="10" t="s">
        <v>34</v>
      </c>
      <c r="E113" s="4" t="s">
        <v>21</v>
      </c>
      <c r="F113" s="10">
        <v>0.5</v>
      </c>
      <c r="G113" s="10">
        <v>0.2</v>
      </c>
      <c r="H113" s="5">
        <v>1095.837</v>
      </c>
      <c r="I113" s="5">
        <v>1039.739</v>
      </c>
      <c r="J113" s="5">
        <v>82.774000000000001</v>
      </c>
      <c r="K113" s="6">
        <v>0.92600000000000005</v>
      </c>
      <c r="L113" s="6">
        <v>0.71599999999999997</v>
      </c>
      <c r="M113" s="6">
        <v>0.21</v>
      </c>
      <c r="N113" s="4">
        <v>2329.3000000000002</v>
      </c>
      <c r="O113" s="4">
        <v>0.47</v>
      </c>
      <c r="P113" s="6">
        <v>0.112</v>
      </c>
      <c r="Q113" s="5">
        <v>1374.7</v>
      </c>
      <c r="R113" s="7">
        <v>404.45499999999998</v>
      </c>
    </row>
    <row r="114" spans="1:18" s="8" customFormat="1" ht="30" customHeight="1">
      <c r="A114" s="2" t="s">
        <v>83</v>
      </c>
      <c r="B114" s="3">
        <v>2022</v>
      </c>
      <c r="C114" s="3" t="s">
        <v>74</v>
      </c>
      <c r="D114" s="3" t="s">
        <v>84</v>
      </c>
      <c r="E114" s="4" t="s">
        <v>64</v>
      </c>
      <c r="F114" s="3">
        <v>0</v>
      </c>
      <c r="G114" s="3">
        <v>0.3</v>
      </c>
      <c r="H114" s="5">
        <v>9591</v>
      </c>
      <c r="I114" s="5">
        <v>9564</v>
      </c>
      <c r="J114" s="5">
        <v>1005</v>
      </c>
      <c r="K114" s="6">
        <v>0.89500000000000002</v>
      </c>
      <c r="L114" s="6">
        <v>0.67600000000000005</v>
      </c>
      <c r="M114" s="6">
        <v>0.17599999999999999</v>
      </c>
      <c r="N114" s="4">
        <v>2458</v>
      </c>
      <c r="O114" s="4">
        <v>3.9020000000000001</v>
      </c>
      <c r="P114" s="6">
        <v>0.77400000000000002</v>
      </c>
      <c r="Q114" s="5">
        <v>35590</v>
      </c>
      <c r="R114" s="7">
        <v>13845</v>
      </c>
    </row>
    <row r="115" spans="1:18" s="8" customFormat="1" ht="30" customHeight="1">
      <c r="A115" s="9" t="s">
        <v>83</v>
      </c>
      <c r="B115" s="10">
        <v>2023</v>
      </c>
      <c r="C115" s="10" t="s">
        <v>74</v>
      </c>
      <c r="D115" s="10" t="s">
        <v>84</v>
      </c>
      <c r="E115" s="4" t="s">
        <v>64</v>
      </c>
      <c r="F115" s="10">
        <v>0</v>
      </c>
      <c r="G115" s="10">
        <v>0.3</v>
      </c>
      <c r="H115" s="5">
        <v>11961</v>
      </c>
      <c r="I115" s="5">
        <v>10531</v>
      </c>
      <c r="J115" s="5">
        <v>1215</v>
      </c>
      <c r="K115" s="6">
        <v>0.88400000000000001</v>
      </c>
      <c r="L115" s="6">
        <v>0.64</v>
      </c>
      <c r="M115" s="6">
        <v>0.19</v>
      </c>
      <c r="N115" s="4">
        <v>2239</v>
      </c>
      <c r="O115" s="4">
        <v>5.3419999999999996</v>
      </c>
      <c r="P115" s="6">
        <v>0.247</v>
      </c>
      <c r="Q115" s="5">
        <v>35569</v>
      </c>
      <c r="R115" s="7">
        <v>13944</v>
      </c>
    </row>
    <row r="116" spans="1:18" s="8" customFormat="1" ht="30" customHeight="1">
      <c r="A116" s="2" t="s">
        <v>83</v>
      </c>
      <c r="B116" s="3">
        <v>2024</v>
      </c>
      <c r="C116" s="3" t="s">
        <v>74</v>
      </c>
      <c r="D116" s="3" t="s">
        <v>84</v>
      </c>
      <c r="E116" s="4" t="s">
        <v>64</v>
      </c>
      <c r="F116" s="3">
        <v>0</v>
      </c>
      <c r="G116" s="3">
        <v>0.3</v>
      </c>
      <c r="H116" s="5">
        <v>11225</v>
      </c>
      <c r="I116" s="5">
        <v>11083</v>
      </c>
      <c r="J116" s="5">
        <v>1443</v>
      </c>
      <c r="K116" s="6">
        <v>0.87</v>
      </c>
      <c r="L116" s="6">
        <v>0.64400000000000002</v>
      </c>
      <c r="M116" s="6">
        <v>0.183</v>
      </c>
      <c r="N116" s="4">
        <v>2186</v>
      </c>
      <c r="O116" s="4">
        <v>5.1349999999999998</v>
      </c>
      <c r="P116" s="6">
        <v>-6.2E-2</v>
      </c>
      <c r="Q116" s="5">
        <v>35435</v>
      </c>
      <c r="R116" s="7">
        <v>13403</v>
      </c>
    </row>
    <row r="117" spans="1:18" s="8" customFormat="1" ht="30" customHeight="1">
      <c r="A117" s="9" t="s">
        <v>83</v>
      </c>
      <c r="B117" s="10">
        <v>2025</v>
      </c>
      <c r="C117" s="10" t="s">
        <v>74</v>
      </c>
      <c r="D117" s="10" t="s">
        <v>84</v>
      </c>
      <c r="E117" s="4" t="s">
        <v>64</v>
      </c>
      <c r="F117" s="10">
        <v>0.5</v>
      </c>
      <c r="G117" s="10">
        <v>0.3</v>
      </c>
      <c r="H117" s="5">
        <v>11819</v>
      </c>
      <c r="I117" s="5">
        <v>11790</v>
      </c>
      <c r="J117" s="5">
        <v>1913</v>
      </c>
      <c r="K117" s="6">
        <v>0.83699999999999997</v>
      </c>
      <c r="L117" s="6">
        <v>0.65200000000000002</v>
      </c>
      <c r="M117" s="6">
        <v>0.17</v>
      </c>
      <c r="N117" s="4">
        <v>2140</v>
      </c>
      <c r="O117" s="4">
        <v>5.5229999999999997</v>
      </c>
      <c r="P117" s="6">
        <v>5.2999999999999999E-2</v>
      </c>
      <c r="Q117" s="5">
        <v>32022</v>
      </c>
      <c r="R117" s="7">
        <v>12368</v>
      </c>
    </row>
    <row r="118" spans="1:18" s="8" customFormat="1" ht="30" customHeight="1">
      <c r="A118" s="2" t="s">
        <v>85</v>
      </c>
      <c r="B118" s="3">
        <v>2022</v>
      </c>
      <c r="C118" s="3" t="s">
        <v>74</v>
      </c>
      <c r="D118" s="3" t="s">
        <v>60</v>
      </c>
      <c r="E118" s="4" t="s">
        <v>61</v>
      </c>
      <c r="F118" s="3">
        <v>0</v>
      </c>
      <c r="G118" s="3">
        <v>0</v>
      </c>
      <c r="H118" s="5">
        <v>7097.8</v>
      </c>
      <c r="I118" s="12">
        <v>6619.1</v>
      </c>
      <c r="J118" s="5">
        <v>700.8</v>
      </c>
      <c r="K118" s="6">
        <v>0.89400000000000002</v>
      </c>
      <c r="L118" s="6">
        <v>0.78300000000000003</v>
      </c>
      <c r="M118" s="6">
        <v>0.111</v>
      </c>
      <c r="N118" s="4">
        <v>427</v>
      </c>
      <c r="O118" s="4">
        <v>16.622</v>
      </c>
      <c r="P118" s="6">
        <v>0.193</v>
      </c>
      <c r="Q118" s="12">
        <v>16719.099999999999</v>
      </c>
      <c r="R118" s="7">
        <v>3761.5</v>
      </c>
    </row>
    <row r="119" spans="1:18" s="8" customFormat="1" ht="30" customHeight="1">
      <c r="A119" s="9" t="s">
        <v>85</v>
      </c>
      <c r="B119" s="10">
        <v>2023</v>
      </c>
      <c r="C119" s="10" t="s">
        <v>74</v>
      </c>
      <c r="D119" s="10" t="s">
        <v>60</v>
      </c>
      <c r="E119" s="4" t="s">
        <v>61</v>
      </c>
      <c r="F119" s="10">
        <v>0</v>
      </c>
      <c r="G119" s="10">
        <v>0</v>
      </c>
      <c r="H119" s="5">
        <v>10423</v>
      </c>
      <c r="I119" s="5">
        <v>9385.5</v>
      </c>
      <c r="J119" s="5">
        <v>1079.9000000000001</v>
      </c>
      <c r="K119" s="6">
        <v>0.88500000000000001</v>
      </c>
      <c r="L119" s="6">
        <v>0.77700000000000002</v>
      </c>
      <c r="M119" s="6">
        <v>0.108</v>
      </c>
      <c r="N119" s="4">
        <v>488</v>
      </c>
      <c r="O119" s="4">
        <v>21.359000000000002</v>
      </c>
      <c r="P119" s="6">
        <v>0.46800000000000003</v>
      </c>
      <c r="Q119" s="5">
        <v>20874.5</v>
      </c>
      <c r="R119" s="7">
        <v>4528.6000000000004</v>
      </c>
    </row>
    <row r="120" spans="1:18" s="8" customFormat="1" ht="30" customHeight="1">
      <c r="A120" s="2" t="s">
        <v>85</v>
      </c>
      <c r="B120" s="3">
        <v>2024</v>
      </c>
      <c r="C120" s="3" t="s">
        <v>74</v>
      </c>
      <c r="D120" s="3" t="s">
        <v>60</v>
      </c>
      <c r="E120" s="4" t="s">
        <v>61</v>
      </c>
      <c r="F120" s="3">
        <v>0</v>
      </c>
      <c r="G120" s="3">
        <v>0</v>
      </c>
      <c r="H120" s="5">
        <v>12333</v>
      </c>
      <c r="I120" s="5">
        <v>11783</v>
      </c>
      <c r="J120" s="5">
        <v>1404</v>
      </c>
      <c r="K120" s="6">
        <v>0.88100000000000001</v>
      </c>
      <c r="L120" s="6">
        <v>0.77500000000000002</v>
      </c>
      <c r="M120" s="6">
        <v>0.106</v>
      </c>
      <c r="N120" s="4">
        <v>565</v>
      </c>
      <c r="O120" s="4">
        <v>21.827999999999999</v>
      </c>
      <c r="P120" s="6">
        <v>0.183</v>
      </c>
      <c r="Q120" s="5">
        <v>24654</v>
      </c>
      <c r="R120" s="7">
        <v>5788</v>
      </c>
    </row>
    <row r="121" spans="1:18" s="8" customFormat="1" ht="30" customHeight="1">
      <c r="A121" s="15" t="s">
        <v>85</v>
      </c>
      <c r="B121" s="16">
        <v>2025</v>
      </c>
      <c r="C121" s="16" t="s">
        <v>74</v>
      </c>
      <c r="D121" s="16" t="s">
        <v>60</v>
      </c>
      <c r="E121" s="17" t="s">
        <v>61</v>
      </c>
      <c r="F121" s="16">
        <v>0.25</v>
      </c>
      <c r="G121" s="16">
        <v>0.3</v>
      </c>
      <c r="H121" s="18">
        <v>14136</v>
      </c>
      <c r="I121" s="18">
        <v>13756</v>
      </c>
      <c r="J121" s="18">
        <v>2106</v>
      </c>
      <c r="K121" s="19">
        <v>0.84699999999999998</v>
      </c>
      <c r="L121" s="19">
        <v>0.73599999999999999</v>
      </c>
      <c r="M121" s="19">
        <v>0.111</v>
      </c>
      <c r="N121" s="17">
        <v>642</v>
      </c>
      <c r="O121" s="17">
        <v>22.018999999999998</v>
      </c>
      <c r="P121" s="19">
        <v>0.14599999999999999</v>
      </c>
      <c r="Q121" s="18">
        <v>28556</v>
      </c>
      <c r="R121" s="20">
        <v>7674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E1C1-AC51-4C32-94ED-4C5D5F1FFCD5}">
  <dimension ref="A1:P121"/>
  <sheetViews>
    <sheetView tabSelected="1" workbookViewId="0">
      <selection activeCell="G1" sqref="G1"/>
    </sheetView>
  </sheetViews>
  <sheetFormatPr baseColWidth="10" defaultColWidth="8.83203125" defaultRowHeight="16"/>
  <cols>
    <col min="1" max="1" width="28.5" customWidth="1"/>
    <col min="2" max="3" width="12.83203125" customWidth="1"/>
    <col min="4" max="7" width="20.83203125" customWidth="1"/>
    <col min="8" max="8" width="27.6640625" style="27" customWidth="1"/>
    <col min="9" max="9" width="23.5" style="27" customWidth="1"/>
    <col min="10" max="10" width="21.33203125" customWidth="1"/>
    <col min="11" max="11" width="26.1640625" customWidth="1"/>
    <col min="12" max="12" width="14.83203125" customWidth="1"/>
    <col min="13" max="16" width="17.6640625" style="27" customWidth="1"/>
  </cols>
  <sheetData>
    <row r="1" spans="1:16" ht="34.5" customHeight="1">
      <c r="A1" s="37" t="s">
        <v>0</v>
      </c>
      <c r="B1" s="38" t="s">
        <v>1</v>
      </c>
      <c r="C1" s="38" t="s">
        <v>2</v>
      </c>
      <c r="D1" s="38" t="s">
        <v>3</v>
      </c>
      <c r="E1" s="39" t="s">
        <v>5</v>
      </c>
      <c r="F1" s="39" t="s">
        <v>6</v>
      </c>
      <c r="G1" s="29" t="s">
        <v>95</v>
      </c>
      <c r="H1" s="28" t="s">
        <v>86</v>
      </c>
      <c r="I1" s="26" t="s">
        <v>87</v>
      </c>
      <c r="J1" s="26" t="s">
        <v>88</v>
      </c>
      <c r="K1" s="26" t="s">
        <v>89</v>
      </c>
      <c r="L1" s="26" t="s">
        <v>90</v>
      </c>
      <c r="M1" s="26" t="s">
        <v>91</v>
      </c>
      <c r="N1" s="26" t="s">
        <v>92</v>
      </c>
      <c r="O1" s="26" t="s">
        <v>93</v>
      </c>
      <c r="P1" s="26" t="s">
        <v>94</v>
      </c>
    </row>
    <row r="2" spans="1:16" s="31" customFormat="1" ht="20.25" customHeight="1">
      <c r="A2" s="32" t="s">
        <v>18</v>
      </c>
      <c r="B2" s="32">
        <v>2022</v>
      </c>
      <c r="C2" s="32" t="s">
        <v>19</v>
      </c>
      <c r="D2" s="32" t="s">
        <v>20</v>
      </c>
      <c r="E2" s="32">
        <v>0</v>
      </c>
      <c r="F2" s="32">
        <v>0</v>
      </c>
      <c r="G2" s="32">
        <f>SUM(Table2[[#This Row],[X1 Business Model]:[X2 Operating Model]])/2</f>
        <v>0</v>
      </c>
      <c r="H2" s="33">
        <v>0</v>
      </c>
      <c r="I2" s="34">
        <v>0</v>
      </c>
      <c r="J2" s="34">
        <v>0</v>
      </c>
      <c r="K2" s="34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</row>
    <row r="3" spans="1:16" s="31" customFormat="1" ht="20.25" customHeight="1">
      <c r="A3" s="36" t="s">
        <v>18</v>
      </c>
      <c r="B3" s="36">
        <v>2023</v>
      </c>
      <c r="C3" s="36" t="s">
        <v>19</v>
      </c>
      <c r="D3" s="36" t="s">
        <v>20</v>
      </c>
      <c r="E3" s="36">
        <v>0.25</v>
      </c>
      <c r="F3" s="36">
        <v>0.1</v>
      </c>
      <c r="G3" s="36">
        <f>SUM(Table2[[#This Row],[X1 Business Model]:[X2 Operating Model]])/2</f>
        <v>0.17499999999999999</v>
      </c>
      <c r="H3" s="33">
        <v>0.5</v>
      </c>
      <c r="I3" s="34">
        <v>0</v>
      </c>
      <c r="J3" s="34">
        <v>0</v>
      </c>
      <c r="K3" s="34">
        <v>0.5</v>
      </c>
      <c r="L3" s="35">
        <v>0</v>
      </c>
      <c r="M3" s="35">
        <v>0</v>
      </c>
      <c r="N3" s="35">
        <v>0.5</v>
      </c>
      <c r="O3" s="35">
        <v>0</v>
      </c>
      <c r="P3" s="35">
        <v>0</v>
      </c>
    </row>
    <row r="4" spans="1:16" s="31" customFormat="1" ht="20.25" customHeight="1">
      <c r="A4" s="32" t="s">
        <v>18</v>
      </c>
      <c r="B4" s="32">
        <v>2024</v>
      </c>
      <c r="C4" s="32" t="s">
        <v>19</v>
      </c>
      <c r="D4" s="32" t="s">
        <v>20</v>
      </c>
      <c r="E4" s="32">
        <v>0.5</v>
      </c>
      <c r="F4" s="32">
        <v>0.2</v>
      </c>
      <c r="G4" s="32">
        <f>SUM(Table2[[#This Row],[X1 Business Model]:[X2 Operating Model]])/2</f>
        <v>0.35</v>
      </c>
      <c r="H4" s="33">
        <v>1</v>
      </c>
      <c r="I4" s="34">
        <v>0</v>
      </c>
      <c r="J4" s="34">
        <v>0.5</v>
      </c>
      <c r="K4" s="34">
        <v>0.5</v>
      </c>
      <c r="L4" s="35">
        <v>0</v>
      </c>
      <c r="M4" s="35">
        <v>0.5</v>
      </c>
      <c r="N4" s="35">
        <v>0.5</v>
      </c>
      <c r="O4" s="35">
        <v>0</v>
      </c>
      <c r="P4" s="35">
        <v>0</v>
      </c>
    </row>
    <row r="5" spans="1:16" s="31" customFormat="1" ht="20.25" customHeight="1">
      <c r="A5" s="36" t="s">
        <v>18</v>
      </c>
      <c r="B5" s="36">
        <v>2025</v>
      </c>
      <c r="C5" s="36" t="s">
        <v>19</v>
      </c>
      <c r="D5" s="36" t="s">
        <v>20</v>
      </c>
      <c r="E5" s="36">
        <v>0.75</v>
      </c>
      <c r="F5" s="36">
        <v>0.4</v>
      </c>
      <c r="G5" s="36">
        <f>SUM(Table2[[#This Row],[X1 Business Model]:[X2 Operating Model]])/2</f>
        <v>0.57499999999999996</v>
      </c>
      <c r="H5" s="33">
        <v>1</v>
      </c>
      <c r="I5" s="34">
        <v>0.5</v>
      </c>
      <c r="J5" s="34">
        <v>0.5</v>
      </c>
      <c r="K5" s="34">
        <v>1</v>
      </c>
      <c r="L5" s="35">
        <v>0</v>
      </c>
      <c r="M5" s="35">
        <v>0.5</v>
      </c>
      <c r="N5" s="35">
        <v>1</v>
      </c>
      <c r="O5" s="35">
        <v>0.5</v>
      </c>
      <c r="P5" s="35">
        <v>0</v>
      </c>
    </row>
    <row r="6" spans="1:16" s="31" customFormat="1" ht="20.25" customHeight="1">
      <c r="A6" s="32" t="s">
        <v>22</v>
      </c>
      <c r="B6" s="32">
        <v>2022</v>
      </c>
      <c r="C6" s="32" t="s">
        <v>19</v>
      </c>
      <c r="D6" s="32" t="s">
        <v>23</v>
      </c>
      <c r="E6" s="32">
        <v>0.25</v>
      </c>
      <c r="F6" s="32">
        <v>0.1</v>
      </c>
      <c r="G6" s="32">
        <f>SUM(Table2[[#This Row],[X1 Business Model]:[X2 Operating Model]])/2</f>
        <v>0.17499999999999999</v>
      </c>
      <c r="H6" s="33">
        <v>0.5</v>
      </c>
      <c r="I6" s="34">
        <v>0</v>
      </c>
      <c r="J6" s="34">
        <v>0</v>
      </c>
      <c r="K6" s="34">
        <v>0.5</v>
      </c>
      <c r="L6" s="35">
        <v>0</v>
      </c>
      <c r="M6" s="35">
        <v>0.5</v>
      </c>
      <c r="N6" s="35">
        <v>0</v>
      </c>
      <c r="O6" s="35">
        <v>0</v>
      </c>
      <c r="P6" s="35">
        <v>0</v>
      </c>
    </row>
    <row r="7" spans="1:16" s="31" customFormat="1" ht="20.25" customHeight="1">
      <c r="A7" s="36" t="s">
        <v>22</v>
      </c>
      <c r="B7" s="36">
        <v>2023</v>
      </c>
      <c r="C7" s="36" t="s">
        <v>19</v>
      </c>
      <c r="D7" s="36" t="s">
        <v>23</v>
      </c>
      <c r="E7" s="36">
        <v>0.375</v>
      </c>
      <c r="F7" s="36">
        <v>0.4</v>
      </c>
      <c r="G7" s="36">
        <f>SUM(Table2[[#This Row],[X1 Business Model]:[X2 Operating Model]])/2</f>
        <v>0.38750000000000001</v>
      </c>
      <c r="H7" s="33">
        <v>0.5</v>
      </c>
      <c r="I7" s="34">
        <v>0.5</v>
      </c>
      <c r="J7" s="34">
        <v>0</v>
      </c>
      <c r="K7" s="34">
        <v>0.5</v>
      </c>
      <c r="L7" s="35">
        <v>0.5</v>
      </c>
      <c r="M7" s="35">
        <v>0.5</v>
      </c>
      <c r="N7" s="35">
        <v>0.5</v>
      </c>
      <c r="O7" s="35">
        <v>0.5</v>
      </c>
      <c r="P7" s="35">
        <v>0</v>
      </c>
    </row>
    <row r="8" spans="1:16" s="31" customFormat="1" ht="20.25" customHeight="1">
      <c r="A8" s="32" t="s">
        <v>22</v>
      </c>
      <c r="B8" s="32">
        <v>2024</v>
      </c>
      <c r="C8" s="32" t="s">
        <v>19</v>
      </c>
      <c r="D8" s="32" t="s">
        <v>23</v>
      </c>
      <c r="E8" s="32">
        <v>0.5</v>
      </c>
      <c r="F8" s="32">
        <v>0.5</v>
      </c>
      <c r="G8" s="32">
        <f>SUM(Table2[[#This Row],[X1 Business Model]:[X2 Operating Model]])/2</f>
        <v>0.5</v>
      </c>
      <c r="H8" s="33">
        <v>0.5</v>
      </c>
      <c r="I8" s="34">
        <v>0.5</v>
      </c>
      <c r="J8" s="34">
        <v>0.5</v>
      </c>
      <c r="K8" s="34">
        <v>0.5</v>
      </c>
      <c r="L8" s="35">
        <v>0.5</v>
      </c>
      <c r="M8" s="35">
        <v>0.5</v>
      </c>
      <c r="N8" s="35">
        <v>0.5</v>
      </c>
      <c r="O8" s="35">
        <v>0.5</v>
      </c>
      <c r="P8" s="35">
        <v>0.5</v>
      </c>
    </row>
    <row r="9" spans="1:16" s="31" customFormat="1" ht="20.25" customHeight="1">
      <c r="A9" s="36" t="s">
        <v>22</v>
      </c>
      <c r="B9" s="36">
        <v>2025</v>
      </c>
      <c r="C9" s="36" t="s">
        <v>19</v>
      </c>
      <c r="D9" s="36" t="s">
        <v>23</v>
      </c>
      <c r="E9" s="36">
        <v>0.5</v>
      </c>
      <c r="F9" s="36">
        <v>0.5</v>
      </c>
      <c r="G9" s="36">
        <f>SUM(Table2[[#This Row],[X1 Business Model]:[X2 Operating Model]])/2</f>
        <v>0.5</v>
      </c>
      <c r="H9" s="33">
        <v>0.5</v>
      </c>
      <c r="I9" s="34">
        <v>0.5</v>
      </c>
      <c r="J9" s="34">
        <v>0.5</v>
      </c>
      <c r="K9" s="34">
        <v>0.5</v>
      </c>
      <c r="L9" s="35">
        <v>0.5</v>
      </c>
      <c r="M9" s="35">
        <v>0.5</v>
      </c>
      <c r="N9" s="35">
        <v>0.5</v>
      </c>
      <c r="O9" s="35">
        <v>0.5</v>
      </c>
      <c r="P9" s="35">
        <v>0.5</v>
      </c>
    </row>
    <row r="10" spans="1:16" s="31" customFormat="1" ht="20.25" customHeight="1">
      <c r="A10" s="32" t="s">
        <v>25</v>
      </c>
      <c r="B10" s="32">
        <v>2022</v>
      </c>
      <c r="C10" s="32" t="s">
        <v>19</v>
      </c>
      <c r="D10" s="32" t="s">
        <v>26</v>
      </c>
      <c r="E10" s="32">
        <v>0.375</v>
      </c>
      <c r="F10" s="32">
        <v>0.2</v>
      </c>
      <c r="G10" s="32">
        <f>SUM(Table2[[#This Row],[X1 Business Model]:[X2 Operating Model]])/2</f>
        <v>0.28749999999999998</v>
      </c>
      <c r="H10" s="33">
        <v>0.5</v>
      </c>
      <c r="I10" s="34">
        <v>0.5</v>
      </c>
      <c r="J10" s="34">
        <v>0</v>
      </c>
      <c r="K10" s="34">
        <v>0.5</v>
      </c>
      <c r="L10" s="35">
        <v>0.5</v>
      </c>
      <c r="M10" s="35">
        <v>0.5</v>
      </c>
      <c r="N10" s="35">
        <v>0</v>
      </c>
      <c r="O10" s="35">
        <v>0</v>
      </c>
      <c r="P10" s="35">
        <v>0</v>
      </c>
    </row>
    <row r="11" spans="1:16" s="31" customFormat="1" ht="20.25" customHeight="1">
      <c r="A11" s="36" t="s">
        <v>25</v>
      </c>
      <c r="B11" s="36">
        <v>2023</v>
      </c>
      <c r="C11" s="36" t="s">
        <v>19</v>
      </c>
      <c r="D11" s="36" t="s">
        <v>26</v>
      </c>
      <c r="E11" s="36">
        <v>0.5</v>
      </c>
      <c r="F11" s="36">
        <v>0.2</v>
      </c>
      <c r="G11" s="36">
        <f>SUM(Table2[[#This Row],[X1 Business Model]:[X2 Operating Model]])/2</f>
        <v>0.35</v>
      </c>
      <c r="H11" s="33">
        <v>0.5</v>
      </c>
      <c r="I11" s="34">
        <v>0.5</v>
      </c>
      <c r="J11" s="34">
        <v>0.5</v>
      </c>
      <c r="K11" s="34">
        <v>0.5</v>
      </c>
      <c r="L11" s="35">
        <v>0.5</v>
      </c>
      <c r="M11" s="35">
        <v>0.5</v>
      </c>
      <c r="N11" s="35">
        <v>0</v>
      </c>
      <c r="O11" s="35">
        <v>0</v>
      </c>
      <c r="P11" s="35">
        <v>0</v>
      </c>
    </row>
    <row r="12" spans="1:16" s="31" customFormat="1" ht="20.25" customHeight="1">
      <c r="A12" s="32" t="s">
        <v>25</v>
      </c>
      <c r="B12" s="32">
        <v>2024</v>
      </c>
      <c r="C12" s="32" t="s">
        <v>19</v>
      </c>
      <c r="D12" s="32" t="s">
        <v>26</v>
      </c>
      <c r="E12" s="32">
        <v>0.5</v>
      </c>
      <c r="F12" s="32">
        <v>0.2</v>
      </c>
      <c r="G12" s="32">
        <f>SUM(Table2[[#This Row],[X1 Business Model]:[X2 Operating Model]])/2</f>
        <v>0.35</v>
      </c>
      <c r="H12" s="33">
        <v>0.5</v>
      </c>
      <c r="I12" s="34">
        <v>0.5</v>
      </c>
      <c r="J12" s="34">
        <v>0.5</v>
      </c>
      <c r="K12" s="34">
        <v>0.5</v>
      </c>
      <c r="L12" s="35">
        <v>0.5</v>
      </c>
      <c r="M12" s="35">
        <v>0.5</v>
      </c>
      <c r="N12" s="35">
        <v>0</v>
      </c>
      <c r="O12" s="35">
        <v>0</v>
      </c>
      <c r="P12" s="35">
        <v>0</v>
      </c>
    </row>
    <row r="13" spans="1:16" s="31" customFormat="1" ht="20.25" customHeight="1">
      <c r="A13" s="36" t="s">
        <v>25</v>
      </c>
      <c r="B13" s="36">
        <v>2025</v>
      </c>
      <c r="C13" s="36" t="s">
        <v>19</v>
      </c>
      <c r="D13" s="36" t="s">
        <v>26</v>
      </c>
      <c r="E13" s="36">
        <v>0.875</v>
      </c>
      <c r="F13" s="36">
        <v>0.2</v>
      </c>
      <c r="G13" s="36">
        <f>SUM(Table2[[#This Row],[X1 Business Model]:[X2 Operating Model]])/2</f>
        <v>0.53749999999999998</v>
      </c>
      <c r="H13" s="33">
        <v>1</v>
      </c>
      <c r="I13" s="34">
        <v>0.5</v>
      </c>
      <c r="J13" s="34">
        <v>1</v>
      </c>
      <c r="K13" s="34">
        <v>1</v>
      </c>
      <c r="L13" s="35">
        <v>0.5</v>
      </c>
      <c r="M13" s="35">
        <v>0.5</v>
      </c>
      <c r="N13" s="35">
        <v>0</v>
      </c>
      <c r="O13" s="35">
        <v>0</v>
      </c>
      <c r="P13" s="35">
        <v>0</v>
      </c>
    </row>
    <row r="14" spans="1:16" s="31" customFormat="1" ht="20.25" customHeight="1">
      <c r="A14" s="32" t="s">
        <v>28</v>
      </c>
      <c r="B14" s="32">
        <v>2022</v>
      </c>
      <c r="C14" s="32" t="s">
        <v>19</v>
      </c>
      <c r="D14" s="32" t="s">
        <v>29</v>
      </c>
      <c r="E14" s="32">
        <v>0</v>
      </c>
      <c r="F14" s="32">
        <v>0</v>
      </c>
      <c r="G14" s="32">
        <f>SUM(Table2[[#This Row],[X1 Business Model]:[X2 Operating Model]])/2</f>
        <v>0</v>
      </c>
      <c r="H14" s="33">
        <v>0</v>
      </c>
      <c r="I14" s="34">
        <v>0</v>
      </c>
      <c r="J14" s="34">
        <v>0</v>
      </c>
      <c r="K14" s="34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</row>
    <row r="15" spans="1:16" s="31" customFormat="1" ht="20.25" customHeight="1">
      <c r="A15" s="36" t="s">
        <v>28</v>
      </c>
      <c r="B15" s="36">
        <v>2023</v>
      </c>
      <c r="C15" s="36" t="s">
        <v>19</v>
      </c>
      <c r="D15" s="36" t="s">
        <v>29</v>
      </c>
      <c r="E15" s="36">
        <v>0.125</v>
      </c>
      <c r="F15" s="36">
        <v>0</v>
      </c>
      <c r="G15" s="36">
        <f>SUM(Table2[[#This Row],[X1 Business Model]:[X2 Operating Model]])/2</f>
        <v>6.25E-2</v>
      </c>
      <c r="H15" s="33">
        <v>0</v>
      </c>
      <c r="I15" s="34">
        <v>0.5</v>
      </c>
      <c r="J15" s="34">
        <v>0</v>
      </c>
      <c r="K15" s="34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</row>
    <row r="16" spans="1:16" s="31" customFormat="1" ht="20.25" customHeight="1">
      <c r="A16" s="32" t="s">
        <v>28</v>
      </c>
      <c r="B16" s="32">
        <v>2024</v>
      </c>
      <c r="C16" s="32" t="s">
        <v>19</v>
      </c>
      <c r="D16" s="32" t="s">
        <v>29</v>
      </c>
      <c r="E16" s="32">
        <v>0.5</v>
      </c>
      <c r="F16" s="32">
        <v>0.2</v>
      </c>
      <c r="G16" s="32">
        <f>SUM(Table2[[#This Row],[X1 Business Model]:[X2 Operating Model]])/2</f>
        <v>0.35</v>
      </c>
      <c r="H16" s="33">
        <v>0.5</v>
      </c>
      <c r="I16" s="34">
        <v>0.5</v>
      </c>
      <c r="J16" s="34">
        <v>0.5</v>
      </c>
      <c r="K16" s="34">
        <v>0.5</v>
      </c>
      <c r="L16" s="35">
        <v>0</v>
      </c>
      <c r="M16" s="35">
        <v>0</v>
      </c>
      <c r="N16" s="35">
        <v>0.5</v>
      </c>
      <c r="O16" s="35">
        <v>0.5</v>
      </c>
      <c r="P16" s="35">
        <v>0</v>
      </c>
    </row>
    <row r="17" spans="1:16" s="31" customFormat="1" ht="20.25" customHeight="1">
      <c r="A17" s="36" t="s">
        <v>28</v>
      </c>
      <c r="B17" s="36">
        <v>2025</v>
      </c>
      <c r="C17" s="36" t="s">
        <v>19</v>
      </c>
      <c r="D17" s="36" t="s">
        <v>29</v>
      </c>
      <c r="E17" s="36">
        <v>0.5</v>
      </c>
      <c r="F17" s="36">
        <v>0.2</v>
      </c>
      <c r="G17" s="36">
        <f>SUM(Table2[[#This Row],[X1 Business Model]:[X2 Operating Model]])/2</f>
        <v>0.35</v>
      </c>
      <c r="H17" s="33">
        <v>0.5</v>
      </c>
      <c r="I17" s="34">
        <v>0.5</v>
      </c>
      <c r="J17" s="34">
        <v>0.5</v>
      </c>
      <c r="K17" s="34">
        <v>0.5</v>
      </c>
      <c r="L17" s="35">
        <v>0</v>
      </c>
      <c r="M17" s="35">
        <v>0</v>
      </c>
      <c r="N17" s="35">
        <v>0.5</v>
      </c>
      <c r="O17" s="35">
        <v>0.5</v>
      </c>
      <c r="P17" s="35">
        <v>0</v>
      </c>
    </row>
    <row r="18" spans="1:16" s="31" customFormat="1" ht="20.25" customHeight="1">
      <c r="A18" s="32" t="s">
        <v>30</v>
      </c>
      <c r="B18" s="32">
        <v>2022</v>
      </c>
      <c r="C18" s="32" t="s">
        <v>19</v>
      </c>
      <c r="D18" s="32" t="s">
        <v>31</v>
      </c>
      <c r="E18" s="32">
        <v>0.25</v>
      </c>
      <c r="F18" s="32">
        <v>0</v>
      </c>
      <c r="G18" s="32">
        <f>SUM(Table2[[#This Row],[X1 Business Model]:[X2 Operating Model]])/2</f>
        <v>0.125</v>
      </c>
      <c r="H18" s="33">
        <v>0.5</v>
      </c>
      <c r="I18" s="34">
        <v>0</v>
      </c>
      <c r="J18" s="34">
        <v>0</v>
      </c>
      <c r="K18" s="34">
        <v>0.5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</row>
    <row r="19" spans="1:16" s="31" customFormat="1" ht="20.25" customHeight="1">
      <c r="A19" s="36" t="s">
        <v>30</v>
      </c>
      <c r="B19" s="36">
        <v>2023</v>
      </c>
      <c r="C19" s="36" t="s">
        <v>19</v>
      </c>
      <c r="D19" s="36" t="s">
        <v>31</v>
      </c>
      <c r="E19" s="36">
        <v>0.25</v>
      </c>
      <c r="F19" s="36">
        <v>0</v>
      </c>
      <c r="G19" s="36">
        <f>SUM(Table2[[#This Row],[X1 Business Model]:[X2 Operating Model]])/2</f>
        <v>0.125</v>
      </c>
      <c r="H19" s="33">
        <v>0.5</v>
      </c>
      <c r="I19" s="34">
        <v>0</v>
      </c>
      <c r="J19" s="34">
        <v>0</v>
      </c>
      <c r="K19" s="34">
        <v>0.5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</row>
    <row r="20" spans="1:16" s="31" customFormat="1" ht="20.25" customHeight="1">
      <c r="A20" s="32" t="s">
        <v>30</v>
      </c>
      <c r="B20" s="32">
        <v>2024</v>
      </c>
      <c r="C20" s="32" t="s">
        <v>19</v>
      </c>
      <c r="D20" s="32" t="s">
        <v>31</v>
      </c>
      <c r="E20" s="32">
        <v>0.625</v>
      </c>
      <c r="F20" s="32">
        <v>0.2</v>
      </c>
      <c r="G20" s="32">
        <f>SUM(Table2[[#This Row],[X1 Business Model]:[X2 Operating Model]])/2</f>
        <v>0.41249999999999998</v>
      </c>
      <c r="H20" s="33">
        <v>1</v>
      </c>
      <c r="I20" s="34">
        <v>0.5</v>
      </c>
      <c r="J20" s="34">
        <v>0.5</v>
      </c>
      <c r="K20" s="34">
        <v>0.5</v>
      </c>
      <c r="L20" s="35">
        <v>0</v>
      </c>
      <c r="M20" s="35">
        <v>0.5</v>
      </c>
      <c r="N20" s="35">
        <v>0.5</v>
      </c>
      <c r="O20" s="35">
        <v>0</v>
      </c>
      <c r="P20" s="35">
        <v>0</v>
      </c>
    </row>
    <row r="21" spans="1:16" s="31" customFormat="1" ht="20.25" customHeight="1">
      <c r="A21" s="36" t="s">
        <v>30</v>
      </c>
      <c r="B21" s="36">
        <v>2025</v>
      </c>
      <c r="C21" s="36" t="s">
        <v>19</v>
      </c>
      <c r="D21" s="36" t="s">
        <v>31</v>
      </c>
      <c r="E21" s="36">
        <v>0.75</v>
      </c>
      <c r="F21" s="36">
        <v>0.3</v>
      </c>
      <c r="G21" s="36">
        <f>SUM(Table2[[#This Row],[X1 Business Model]:[X2 Operating Model]])/2</f>
        <v>0.52500000000000002</v>
      </c>
      <c r="H21" s="33">
        <v>1</v>
      </c>
      <c r="I21" s="34">
        <v>0.5</v>
      </c>
      <c r="J21" s="34">
        <v>0.5</v>
      </c>
      <c r="K21" s="34">
        <v>1</v>
      </c>
      <c r="L21" s="35">
        <v>0</v>
      </c>
      <c r="M21" s="35">
        <v>0.5</v>
      </c>
      <c r="N21" s="35">
        <v>0.5</v>
      </c>
      <c r="O21" s="35">
        <v>0.5</v>
      </c>
      <c r="P21" s="35">
        <v>0</v>
      </c>
    </row>
    <row r="22" spans="1:16" s="31" customFormat="1" ht="20.25" customHeight="1">
      <c r="A22" s="32" t="s">
        <v>33</v>
      </c>
      <c r="B22" s="32">
        <v>2022</v>
      </c>
      <c r="C22" s="32" t="s">
        <v>19</v>
      </c>
      <c r="D22" s="32" t="s">
        <v>34</v>
      </c>
      <c r="E22" s="32">
        <v>0.25</v>
      </c>
      <c r="F22" s="32">
        <v>0.3</v>
      </c>
      <c r="G22" s="32">
        <f>SUM(Table2[[#This Row],[X1 Business Model]:[X2 Operating Model]])/2</f>
        <v>0.27500000000000002</v>
      </c>
      <c r="H22" s="33">
        <v>0.5</v>
      </c>
      <c r="I22" s="34">
        <v>0.5</v>
      </c>
      <c r="J22" s="34">
        <v>0</v>
      </c>
      <c r="K22" s="34">
        <v>0</v>
      </c>
      <c r="L22" s="35">
        <v>0.5</v>
      </c>
      <c r="M22" s="35">
        <v>0</v>
      </c>
      <c r="N22" s="35">
        <v>0.5</v>
      </c>
      <c r="O22" s="35">
        <v>0.5</v>
      </c>
      <c r="P22" s="35">
        <v>0</v>
      </c>
    </row>
    <row r="23" spans="1:16" s="31" customFormat="1" ht="20.25" customHeight="1">
      <c r="A23" s="36" t="s">
        <v>33</v>
      </c>
      <c r="B23" s="36">
        <v>2023</v>
      </c>
      <c r="C23" s="36" t="s">
        <v>19</v>
      </c>
      <c r="D23" s="36" t="s">
        <v>34</v>
      </c>
      <c r="E23" s="36">
        <v>0.375</v>
      </c>
      <c r="F23" s="36">
        <v>0.4</v>
      </c>
      <c r="G23" s="36">
        <f>SUM(Table2[[#This Row],[X1 Business Model]:[X2 Operating Model]])/2</f>
        <v>0.38750000000000001</v>
      </c>
      <c r="H23" s="33">
        <v>0.5</v>
      </c>
      <c r="I23" s="34">
        <v>0.5</v>
      </c>
      <c r="J23" s="34">
        <v>0</v>
      </c>
      <c r="K23" s="34">
        <v>0.5</v>
      </c>
      <c r="L23" s="35">
        <v>0.5</v>
      </c>
      <c r="M23" s="35">
        <v>0</v>
      </c>
      <c r="N23" s="35">
        <v>1</v>
      </c>
      <c r="O23" s="35">
        <v>0.5</v>
      </c>
      <c r="P23" s="35">
        <v>0</v>
      </c>
    </row>
    <row r="24" spans="1:16" s="31" customFormat="1" ht="20.25" customHeight="1">
      <c r="A24" s="32" t="s">
        <v>33</v>
      </c>
      <c r="B24" s="32">
        <v>2024</v>
      </c>
      <c r="C24" s="32" t="s">
        <v>19</v>
      </c>
      <c r="D24" s="32" t="s">
        <v>34</v>
      </c>
      <c r="E24" s="32">
        <v>0.5</v>
      </c>
      <c r="F24" s="32">
        <v>0.6</v>
      </c>
      <c r="G24" s="32">
        <f>SUM(Table2[[#This Row],[X1 Business Model]:[X2 Operating Model]])/2</f>
        <v>0.55000000000000004</v>
      </c>
      <c r="H24" s="33">
        <v>0.5</v>
      </c>
      <c r="I24" s="34">
        <v>0.5</v>
      </c>
      <c r="J24" s="34">
        <v>0.5</v>
      </c>
      <c r="K24" s="34">
        <v>0.5</v>
      </c>
      <c r="L24" s="35">
        <v>0.5</v>
      </c>
      <c r="M24" s="35">
        <v>1</v>
      </c>
      <c r="N24" s="35">
        <v>1</v>
      </c>
      <c r="O24" s="35">
        <v>0.5</v>
      </c>
      <c r="P24" s="35">
        <v>0</v>
      </c>
    </row>
    <row r="25" spans="1:16" s="31" customFormat="1" ht="20.25" customHeight="1">
      <c r="A25" s="36" t="s">
        <v>33</v>
      </c>
      <c r="B25" s="36">
        <v>2025</v>
      </c>
      <c r="C25" s="36" t="s">
        <v>19</v>
      </c>
      <c r="D25" s="36" t="s">
        <v>34</v>
      </c>
      <c r="E25" s="36">
        <v>0.5</v>
      </c>
      <c r="F25" s="36">
        <v>0.8</v>
      </c>
      <c r="G25" s="36">
        <f>SUM(Table2[[#This Row],[X1 Business Model]:[X2 Operating Model]])/2</f>
        <v>0.65</v>
      </c>
      <c r="H25" s="33">
        <v>0.5</v>
      </c>
      <c r="I25" s="34">
        <v>0.5</v>
      </c>
      <c r="J25" s="34">
        <v>0.5</v>
      </c>
      <c r="K25" s="34">
        <v>0.5</v>
      </c>
      <c r="L25" s="35">
        <v>0.5</v>
      </c>
      <c r="M25" s="35">
        <v>1</v>
      </c>
      <c r="N25" s="35">
        <v>1</v>
      </c>
      <c r="O25" s="35">
        <v>1</v>
      </c>
      <c r="P25" s="35">
        <v>0.5</v>
      </c>
    </row>
    <row r="26" spans="1:16" s="31" customFormat="1" ht="20.25" customHeight="1">
      <c r="A26" s="32" t="s">
        <v>35</v>
      </c>
      <c r="B26" s="32">
        <v>2022</v>
      </c>
      <c r="C26" s="32" t="s">
        <v>19</v>
      </c>
      <c r="D26" s="32" t="s">
        <v>36</v>
      </c>
      <c r="E26" s="32">
        <v>0.25</v>
      </c>
      <c r="F26" s="32">
        <v>0.2</v>
      </c>
      <c r="G26" s="32">
        <f>SUM(Table2[[#This Row],[X1 Business Model]:[X2 Operating Model]])/2</f>
        <v>0.22500000000000001</v>
      </c>
      <c r="H26" s="33">
        <v>0.5</v>
      </c>
      <c r="I26" s="34">
        <v>0.5</v>
      </c>
      <c r="J26" s="34">
        <v>0</v>
      </c>
      <c r="K26" s="34">
        <v>0</v>
      </c>
      <c r="L26" s="35">
        <v>0</v>
      </c>
      <c r="M26" s="35">
        <v>0.5</v>
      </c>
      <c r="N26" s="35">
        <v>0.5</v>
      </c>
      <c r="O26" s="35">
        <v>0</v>
      </c>
      <c r="P26" s="35">
        <v>0</v>
      </c>
    </row>
    <row r="27" spans="1:16" s="31" customFormat="1" ht="20.25" customHeight="1">
      <c r="A27" s="36" t="s">
        <v>35</v>
      </c>
      <c r="B27" s="36">
        <v>2023</v>
      </c>
      <c r="C27" s="36" t="s">
        <v>19</v>
      </c>
      <c r="D27" s="36" t="s">
        <v>36</v>
      </c>
      <c r="E27" s="36">
        <v>0.5</v>
      </c>
      <c r="F27" s="36">
        <v>0.4</v>
      </c>
      <c r="G27" s="36">
        <f>SUM(Table2[[#This Row],[X1 Business Model]:[X2 Operating Model]])/2</f>
        <v>0.45</v>
      </c>
      <c r="H27" s="33">
        <v>1</v>
      </c>
      <c r="I27" s="34">
        <v>1</v>
      </c>
      <c r="J27" s="34">
        <v>0</v>
      </c>
      <c r="K27" s="34">
        <v>0</v>
      </c>
      <c r="L27" s="35">
        <v>0</v>
      </c>
      <c r="M27" s="35">
        <v>0.5</v>
      </c>
      <c r="N27" s="35">
        <v>1</v>
      </c>
      <c r="O27" s="35">
        <v>0.5</v>
      </c>
      <c r="P27" s="35">
        <v>0</v>
      </c>
    </row>
    <row r="28" spans="1:16" s="31" customFormat="1" ht="20.25" customHeight="1">
      <c r="A28" s="32" t="s">
        <v>35</v>
      </c>
      <c r="B28" s="32">
        <v>2024</v>
      </c>
      <c r="C28" s="32" t="s">
        <v>19</v>
      </c>
      <c r="D28" s="32" t="s">
        <v>36</v>
      </c>
      <c r="E28" s="32">
        <v>0.75</v>
      </c>
      <c r="F28" s="32">
        <v>0.6</v>
      </c>
      <c r="G28" s="32">
        <f>SUM(Table2[[#This Row],[X1 Business Model]:[X2 Operating Model]])/2</f>
        <v>0.67500000000000004</v>
      </c>
      <c r="H28" s="33">
        <v>1</v>
      </c>
      <c r="I28" s="34">
        <v>1</v>
      </c>
      <c r="J28" s="34">
        <v>0.5</v>
      </c>
      <c r="K28" s="34">
        <v>0.5</v>
      </c>
      <c r="L28" s="35">
        <v>0.5</v>
      </c>
      <c r="M28" s="35">
        <v>0.5</v>
      </c>
      <c r="N28" s="35">
        <v>1</v>
      </c>
      <c r="O28" s="35">
        <v>0.5</v>
      </c>
      <c r="P28" s="35">
        <v>0.5</v>
      </c>
    </row>
    <row r="29" spans="1:16" s="31" customFormat="1" ht="20.25" customHeight="1">
      <c r="A29" s="36" t="s">
        <v>35</v>
      </c>
      <c r="B29" s="36">
        <v>2025</v>
      </c>
      <c r="C29" s="36" t="s">
        <v>19</v>
      </c>
      <c r="D29" s="36" t="s">
        <v>36</v>
      </c>
      <c r="E29" s="36">
        <v>0.75</v>
      </c>
      <c r="F29" s="36">
        <v>0.6</v>
      </c>
      <c r="G29" s="36">
        <f>SUM(Table2[[#This Row],[X1 Business Model]:[X2 Operating Model]])/2</f>
        <v>0.67500000000000004</v>
      </c>
      <c r="H29" s="33">
        <v>1</v>
      </c>
      <c r="I29" s="34">
        <v>1</v>
      </c>
      <c r="J29" s="34">
        <v>0.5</v>
      </c>
      <c r="K29" s="34">
        <v>0.5</v>
      </c>
      <c r="L29" s="35">
        <v>0.5</v>
      </c>
      <c r="M29" s="35">
        <v>0.5</v>
      </c>
      <c r="N29" s="35">
        <v>1</v>
      </c>
      <c r="O29" s="35">
        <v>0.5</v>
      </c>
      <c r="P29" s="35">
        <v>0.5</v>
      </c>
    </row>
    <row r="30" spans="1:16" s="31" customFormat="1" ht="20.25" customHeight="1">
      <c r="A30" s="32" t="s">
        <v>37</v>
      </c>
      <c r="B30" s="32">
        <v>2022</v>
      </c>
      <c r="C30" s="32" t="s">
        <v>19</v>
      </c>
      <c r="D30" s="32" t="s">
        <v>38</v>
      </c>
      <c r="E30" s="32">
        <v>0.625</v>
      </c>
      <c r="F30" s="32">
        <v>0.1</v>
      </c>
      <c r="G30" s="32">
        <f>SUM(Table2[[#This Row],[X1 Business Model]:[X2 Operating Model]])/2</f>
        <v>0.36249999999999999</v>
      </c>
      <c r="H30" s="33">
        <v>1</v>
      </c>
      <c r="I30" s="34">
        <v>1</v>
      </c>
      <c r="J30" s="34">
        <v>0</v>
      </c>
      <c r="K30" s="34">
        <v>0.5</v>
      </c>
      <c r="L30" s="35">
        <v>0</v>
      </c>
      <c r="M30" s="35">
        <v>0</v>
      </c>
      <c r="N30" s="35">
        <v>0.5</v>
      </c>
      <c r="O30" s="35">
        <v>0</v>
      </c>
      <c r="P30" s="35">
        <v>0</v>
      </c>
    </row>
    <row r="31" spans="1:16" s="31" customFormat="1" ht="20.25" customHeight="1">
      <c r="A31" s="36" t="s">
        <v>37</v>
      </c>
      <c r="B31" s="36">
        <v>2023</v>
      </c>
      <c r="C31" s="36" t="s">
        <v>19</v>
      </c>
      <c r="D31" s="36" t="s">
        <v>38</v>
      </c>
      <c r="E31" s="36">
        <v>0.625</v>
      </c>
      <c r="F31" s="36">
        <v>0.1</v>
      </c>
      <c r="G31" s="36">
        <f>SUM(Table2[[#This Row],[X1 Business Model]:[X2 Operating Model]])/2</f>
        <v>0.36249999999999999</v>
      </c>
      <c r="H31" s="33">
        <v>1</v>
      </c>
      <c r="I31" s="34">
        <v>1</v>
      </c>
      <c r="J31" s="34">
        <v>0</v>
      </c>
      <c r="K31" s="34">
        <v>0.5</v>
      </c>
      <c r="L31" s="35">
        <v>0</v>
      </c>
      <c r="M31" s="35">
        <v>0</v>
      </c>
      <c r="N31" s="35">
        <v>0.5</v>
      </c>
      <c r="O31" s="35">
        <v>0</v>
      </c>
      <c r="P31" s="35">
        <v>0</v>
      </c>
    </row>
    <row r="32" spans="1:16" s="31" customFormat="1" ht="20.25" customHeight="1">
      <c r="A32" s="32" t="s">
        <v>37</v>
      </c>
      <c r="B32" s="32">
        <v>2024</v>
      </c>
      <c r="C32" s="32" t="s">
        <v>19</v>
      </c>
      <c r="D32" s="32" t="s">
        <v>38</v>
      </c>
      <c r="E32" s="32">
        <v>0.875</v>
      </c>
      <c r="F32" s="32">
        <v>0.1</v>
      </c>
      <c r="G32" s="32">
        <f>SUM(Table2[[#This Row],[X1 Business Model]:[X2 Operating Model]])/2</f>
        <v>0.48749999999999999</v>
      </c>
      <c r="H32" s="33">
        <v>1</v>
      </c>
      <c r="I32" s="34">
        <v>1</v>
      </c>
      <c r="J32" s="34">
        <v>1</v>
      </c>
      <c r="K32" s="34">
        <v>0.5</v>
      </c>
      <c r="L32" s="35">
        <v>0</v>
      </c>
      <c r="M32" s="35">
        <v>0</v>
      </c>
      <c r="N32" s="35">
        <v>0.5</v>
      </c>
      <c r="O32" s="35">
        <v>0</v>
      </c>
      <c r="P32" s="35">
        <v>0</v>
      </c>
    </row>
    <row r="33" spans="1:16" s="31" customFormat="1" ht="20.25" customHeight="1">
      <c r="A33" s="36" t="s">
        <v>37</v>
      </c>
      <c r="B33" s="36">
        <v>2025</v>
      </c>
      <c r="C33" s="36" t="s">
        <v>19</v>
      </c>
      <c r="D33" s="36" t="s">
        <v>38</v>
      </c>
      <c r="E33" s="36">
        <v>0.875</v>
      </c>
      <c r="F33" s="36">
        <v>0.2</v>
      </c>
      <c r="G33" s="36">
        <f>SUM(Table2[[#This Row],[X1 Business Model]:[X2 Operating Model]])/2</f>
        <v>0.53749999999999998</v>
      </c>
      <c r="H33" s="33">
        <v>1</v>
      </c>
      <c r="I33" s="34">
        <v>1</v>
      </c>
      <c r="J33" s="34">
        <v>1</v>
      </c>
      <c r="K33" s="34">
        <v>0.5</v>
      </c>
      <c r="L33" s="35">
        <v>0</v>
      </c>
      <c r="M33" s="35">
        <v>0</v>
      </c>
      <c r="N33" s="35">
        <v>0.5</v>
      </c>
      <c r="O33" s="35">
        <v>0.5</v>
      </c>
      <c r="P33" s="35">
        <v>0</v>
      </c>
    </row>
    <row r="34" spans="1:16" s="31" customFormat="1" ht="20.25" customHeight="1">
      <c r="A34" s="32" t="s">
        <v>39</v>
      </c>
      <c r="B34" s="32">
        <v>2022</v>
      </c>
      <c r="C34" s="32" t="s">
        <v>19</v>
      </c>
      <c r="D34" s="32" t="s">
        <v>40</v>
      </c>
      <c r="E34" s="32">
        <v>0.25</v>
      </c>
      <c r="F34" s="32">
        <v>0.1</v>
      </c>
      <c r="G34" s="32">
        <f>SUM(Table2[[#This Row],[X1 Business Model]:[X2 Operating Model]])/2</f>
        <v>0.17499999999999999</v>
      </c>
      <c r="H34" s="33">
        <v>0.5</v>
      </c>
      <c r="I34" s="34">
        <v>0.5</v>
      </c>
      <c r="J34" s="34">
        <v>0</v>
      </c>
      <c r="K34" s="34">
        <v>0</v>
      </c>
      <c r="L34" s="35">
        <v>0</v>
      </c>
      <c r="M34" s="35">
        <v>0</v>
      </c>
      <c r="N34" s="35">
        <v>0.5</v>
      </c>
      <c r="O34" s="35">
        <v>0</v>
      </c>
      <c r="P34" s="35">
        <v>0</v>
      </c>
    </row>
    <row r="35" spans="1:16" s="31" customFormat="1" ht="20.25" customHeight="1">
      <c r="A35" s="36" t="s">
        <v>39</v>
      </c>
      <c r="B35" s="36">
        <v>2023</v>
      </c>
      <c r="C35" s="36" t="s">
        <v>19</v>
      </c>
      <c r="D35" s="36" t="s">
        <v>40</v>
      </c>
      <c r="E35" s="36">
        <v>0.25</v>
      </c>
      <c r="F35" s="36">
        <v>0.1</v>
      </c>
      <c r="G35" s="36">
        <f>SUM(Table2[[#This Row],[X1 Business Model]:[X2 Operating Model]])/2</f>
        <v>0.17499999999999999</v>
      </c>
      <c r="H35" s="33">
        <v>0.5</v>
      </c>
      <c r="I35" s="34">
        <v>0.5</v>
      </c>
      <c r="J35" s="34">
        <v>0</v>
      </c>
      <c r="K35" s="34">
        <v>0</v>
      </c>
      <c r="L35" s="35">
        <v>0</v>
      </c>
      <c r="M35" s="35">
        <v>0</v>
      </c>
      <c r="N35" s="35">
        <v>0.5</v>
      </c>
      <c r="O35" s="35">
        <v>0</v>
      </c>
      <c r="P35" s="35">
        <v>0</v>
      </c>
    </row>
    <row r="36" spans="1:16" s="31" customFormat="1" ht="20.25" customHeight="1">
      <c r="A36" s="32" t="s">
        <v>39</v>
      </c>
      <c r="B36" s="32">
        <v>2024</v>
      </c>
      <c r="C36" s="32" t="s">
        <v>19</v>
      </c>
      <c r="D36" s="32" t="s">
        <v>40</v>
      </c>
      <c r="E36" s="32">
        <v>0.5</v>
      </c>
      <c r="F36" s="32">
        <v>0.1</v>
      </c>
      <c r="G36" s="32">
        <f>SUM(Table2[[#This Row],[X1 Business Model]:[X2 Operating Model]])/2</f>
        <v>0.3</v>
      </c>
      <c r="H36" s="33">
        <v>0.5</v>
      </c>
      <c r="I36" s="34">
        <v>0.5</v>
      </c>
      <c r="J36" s="34">
        <v>0.5</v>
      </c>
      <c r="K36" s="34">
        <v>0.5</v>
      </c>
      <c r="L36" s="35">
        <v>0</v>
      </c>
      <c r="M36" s="35">
        <v>0</v>
      </c>
      <c r="N36" s="35">
        <v>0.5</v>
      </c>
      <c r="O36" s="35">
        <v>0</v>
      </c>
      <c r="P36" s="35">
        <v>0</v>
      </c>
    </row>
    <row r="37" spans="1:16" s="31" customFormat="1" ht="20.25" customHeight="1">
      <c r="A37" s="36" t="s">
        <v>39</v>
      </c>
      <c r="B37" s="36">
        <v>2025</v>
      </c>
      <c r="C37" s="36" t="s">
        <v>19</v>
      </c>
      <c r="D37" s="36" t="s">
        <v>40</v>
      </c>
      <c r="E37" s="36">
        <v>0.5</v>
      </c>
      <c r="F37" s="36">
        <v>0.1</v>
      </c>
      <c r="G37" s="36">
        <f>SUM(Table2[[#This Row],[X1 Business Model]:[X2 Operating Model]])/2</f>
        <v>0.3</v>
      </c>
      <c r="H37" s="33">
        <v>0.5</v>
      </c>
      <c r="I37" s="34">
        <v>0.5</v>
      </c>
      <c r="J37" s="34">
        <v>0.5</v>
      </c>
      <c r="K37" s="34">
        <v>0.5</v>
      </c>
      <c r="L37" s="35">
        <v>0</v>
      </c>
      <c r="M37" s="35">
        <v>0</v>
      </c>
      <c r="N37" s="35">
        <v>0.5</v>
      </c>
      <c r="O37" s="35">
        <v>0</v>
      </c>
      <c r="P37" s="35">
        <v>0</v>
      </c>
    </row>
    <row r="38" spans="1:16" s="31" customFormat="1" ht="20.25" customHeight="1">
      <c r="A38" s="32" t="s">
        <v>42</v>
      </c>
      <c r="B38" s="32">
        <v>2022</v>
      </c>
      <c r="C38" s="32" t="s">
        <v>19</v>
      </c>
      <c r="D38" s="32" t="s">
        <v>36</v>
      </c>
      <c r="E38" s="32">
        <v>0.375</v>
      </c>
      <c r="F38" s="32">
        <v>0.1</v>
      </c>
      <c r="G38" s="32">
        <f>SUM(Table2[[#This Row],[X1 Business Model]:[X2 Operating Model]])/2</f>
        <v>0.23749999999999999</v>
      </c>
      <c r="H38" s="33">
        <v>0.5</v>
      </c>
      <c r="I38" s="34">
        <v>0</v>
      </c>
      <c r="J38" s="34">
        <v>0.5</v>
      </c>
      <c r="K38" s="34">
        <v>0.5</v>
      </c>
      <c r="L38" s="35">
        <v>0</v>
      </c>
      <c r="M38" s="35">
        <v>0</v>
      </c>
      <c r="N38" s="35">
        <v>0.5</v>
      </c>
      <c r="O38" s="35">
        <v>0</v>
      </c>
      <c r="P38" s="35">
        <v>0</v>
      </c>
    </row>
    <row r="39" spans="1:16" s="31" customFormat="1" ht="20.25" customHeight="1">
      <c r="A39" s="36" t="s">
        <v>42</v>
      </c>
      <c r="B39" s="36">
        <v>2023</v>
      </c>
      <c r="C39" s="36" t="s">
        <v>19</v>
      </c>
      <c r="D39" s="36" t="s">
        <v>36</v>
      </c>
      <c r="E39" s="36">
        <v>0.75</v>
      </c>
      <c r="F39" s="36">
        <v>0.2</v>
      </c>
      <c r="G39" s="36">
        <f>SUM(Table2[[#This Row],[X1 Business Model]:[X2 Operating Model]])/2</f>
        <v>0.47499999999999998</v>
      </c>
      <c r="H39" s="33">
        <v>1</v>
      </c>
      <c r="I39" s="34">
        <v>0.5</v>
      </c>
      <c r="J39" s="34">
        <v>0.5</v>
      </c>
      <c r="K39" s="34">
        <v>1</v>
      </c>
      <c r="L39" s="35">
        <v>0</v>
      </c>
      <c r="M39" s="35">
        <v>0</v>
      </c>
      <c r="N39" s="35">
        <v>1</v>
      </c>
      <c r="O39" s="35">
        <v>0</v>
      </c>
      <c r="P39" s="35">
        <v>0</v>
      </c>
    </row>
    <row r="40" spans="1:16" s="31" customFormat="1" ht="20.25" customHeight="1">
      <c r="A40" s="32" t="s">
        <v>42</v>
      </c>
      <c r="B40" s="32">
        <v>2024</v>
      </c>
      <c r="C40" s="32" t="s">
        <v>19</v>
      </c>
      <c r="D40" s="32" t="s">
        <v>36</v>
      </c>
      <c r="E40" s="32">
        <v>0.75</v>
      </c>
      <c r="F40" s="32">
        <v>0.2</v>
      </c>
      <c r="G40" s="32">
        <f>SUM(Table2[[#This Row],[X1 Business Model]:[X2 Operating Model]])/2</f>
        <v>0.47499999999999998</v>
      </c>
      <c r="H40" s="33">
        <v>1</v>
      </c>
      <c r="I40" s="34">
        <v>0.5</v>
      </c>
      <c r="J40" s="34">
        <v>0.5</v>
      </c>
      <c r="K40" s="34">
        <v>1</v>
      </c>
      <c r="L40" s="35">
        <v>0</v>
      </c>
      <c r="M40" s="35">
        <v>0</v>
      </c>
      <c r="N40" s="35">
        <v>1</v>
      </c>
      <c r="O40" s="35">
        <v>0</v>
      </c>
      <c r="P40" s="35">
        <v>0</v>
      </c>
    </row>
    <row r="41" spans="1:16" s="31" customFormat="1" ht="20.25" customHeight="1">
      <c r="A41" s="36" t="s">
        <v>42</v>
      </c>
      <c r="B41" s="36">
        <v>2025</v>
      </c>
      <c r="C41" s="36" t="s">
        <v>19</v>
      </c>
      <c r="D41" s="36" t="s">
        <v>36</v>
      </c>
      <c r="E41" s="36">
        <v>0.75</v>
      </c>
      <c r="F41" s="36">
        <v>0.3</v>
      </c>
      <c r="G41" s="36">
        <f>SUM(Table2[[#This Row],[X1 Business Model]:[X2 Operating Model]])/2</f>
        <v>0.52500000000000002</v>
      </c>
      <c r="H41" s="33">
        <v>1</v>
      </c>
      <c r="I41" s="34">
        <v>0.5</v>
      </c>
      <c r="J41" s="34">
        <v>0.5</v>
      </c>
      <c r="K41" s="34">
        <v>1</v>
      </c>
      <c r="L41" s="35">
        <v>0.5</v>
      </c>
      <c r="M41" s="35">
        <v>0</v>
      </c>
      <c r="N41" s="35">
        <v>1</v>
      </c>
      <c r="O41" s="35">
        <v>0</v>
      </c>
      <c r="P41" s="35">
        <v>0</v>
      </c>
    </row>
    <row r="42" spans="1:16" s="31" customFormat="1" ht="20.25" customHeight="1">
      <c r="A42" s="32" t="s">
        <v>43</v>
      </c>
      <c r="B42" s="32">
        <v>2022</v>
      </c>
      <c r="C42" s="32" t="s">
        <v>19</v>
      </c>
      <c r="D42" s="32" t="s">
        <v>44</v>
      </c>
      <c r="E42" s="32">
        <v>0</v>
      </c>
      <c r="F42" s="32">
        <v>0</v>
      </c>
      <c r="G42" s="32">
        <f>SUM(Table2[[#This Row],[X1 Business Model]:[X2 Operating Model]])/2</f>
        <v>0</v>
      </c>
      <c r="H42" s="33">
        <v>0</v>
      </c>
      <c r="I42" s="34">
        <v>0</v>
      </c>
      <c r="J42" s="34">
        <v>0</v>
      </c>
      <c r="K42" s="34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</row>
    <row r="43" spans="1:16" s="31" customFormat="1" ht="20.25" customHeight="1">
      <c r="A43" s="36" t="s">
        <v>43</v>
      </c>
      <c r="B43" s="36">
        <v>2023</v>
      </c>
      <c r="C43" s="36" t="s">
        <v>19</v>
      </c>
      <c r="D43" s="36" t="s">
        <v>44</v>
      </c>
      <c r="E43" s="36">
        <v>0.25</v>
      </c>
      <c r="F43" s="36">
        <v>0</v>
      </c>
      <c r="G43" s="36">
        <f>SUM(Table2[[#This Row],[X1 Business Model]:[X2 Operating Model]])/2</f>
        <v>0.125</v>
      </c>
      <c r="H43" s="33">
        <v>0.5</v>
      </c>
      <c r="I43" s="34">
        <v>0.5</v>
      </c>
      <c r="J43" s="34">
        <v>0</v>
      </c>
      <c r="K43" s="34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</row>
    <row r="44" spans="1:16" s="31" customFormat="1" ht="20.25" customHeight="1">
      <c r="A44" s="32" t="s">
        <v>43</v>
      </c>
      <c r="B44" s="32">
        <v>2024</v>
      </c>
      <c r="C44" s="32" t="s">
        <v>19</v>
      </c>
      <c r="D44" s="32" t="s">
        <v>44</v>
      </c>
      <c r="E44" s="32">
        <v>0.25</v>
      </c>
      <c r="F44" s="32">
        <v>0</v>
      </c>
      <c r="G44" s="32">
        <f>SUM(Table2[[#This Row],[X1 Business Model]:[X2 Operating Model]])/2</f>
        <v>0.125</v>
      </c>
      <c r="H44" s="33">
        <v>0.5</v>
      </c>
      <c r="I44" s="34">
        <v>0.5</v>
      </c>
      <c r="J44" s="34">
        <v>0</v>
      </c>
      <c r="K44" s="34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</row>
    <row r="45" spans="1:16" s="31" customFormat="1" ht="20.25" customHeight="1">
      <c r="A45" s="36" t="s">
        <v>43</v>
      </c>
      <c r="B45" s="36">
        <v>2025</v>
      </c>
      <c r="C45" s="36" t="s">
        <v>19</v>
      </c>
      <c r="D45" s="36" t="s">
        <v>44</v>
      </c>
      <c r="E45" s="36">
        <v>0.75</v>
      </c>
      <c r="F45" s="36">
        <v>0.2</v>
      </c>
      <c r="G45" s="36">
        <f>SUM(Table2[[#This Row],[X1 Business Model]:[X2 Operating Model]])/2</f>
        <v>0.47499999999999998</v>
      </c>
      <c r="H45" s="33">
        <v>1</v>
      </c>
      <c r="I45" s="34">
        <v>0.5</v>
      </c>
      <c r="J45" s="34">
        <v>0.5</v>
      </c>
      <c r="K45" s="34">
        <v>1</v>
      </c>
      <c r="L45" s="35">
        <v>0</v>
      </c>
      <c r="M45" s="35">
        <v>0</v>
      </c>
      <c r="N45" s="35">
        <v>1</v>
      </c>
      <c r="O45" s="35">
        <v>0</v>
      </c>
      <c r="P45" s="35">
        <v>0</v>
      </c>
    </row>
    <row r="46" spans="1:16" s="31" customFormat="1" ht="20.25" customHeight="1">
      <c r="A46" s="32" t="s">
        <v>45</v>
      </c>
      <c r="B46" s="32">
        <v>2022</v>
      </c>
      <c r="C46" s="32" t="s">
        <v>19</v>
      </c>
      <c r="D46" s="32" t="s">
        <v>46</v>
      </c>
      <c r="E46" s="32">
        <v>0</v>
      </c>
      <c r="F46" s="32">
        <v>0</v>
      </c>
      <c r="G46" s="32">
        <f>SUM(Table2[[#This Row],[X1 Business Model]:[X2 Operating Model]])/2</f>
        <v>0</v>
      </c>
      <c r="H46" s="33">
        <v>0</v>
      </c>
      <c r="I46" s="34">
        <v>0</v>
      </c>
      <c r="J46" s="34">
        <v>0</v>
      </c>
      <c r="K46" s="34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</row>
    <row r="47" spans="1:16" s="31" customFormat="1" ht="20.25" customHeight="1">
      <c r="A47" s="36" t="s">
        <v>45</v>
      </c>
      <c r="B47" s="36">
        <v>2023</v>
      </c>
      <c r="C47" s="36" t="s">
        <v>19</v>
      </c>
      <c r="D47" s="36" t="s">
        <v>46</v>
      </c>
      <c r="E47" s="36">
        <v>0</v>
      </c>
      <c r="F47" s="36">
        <v>0</v>
      </c>
      <c r="G47" s="36">
        <f>SUM(Table2[[#This Row],[X1 Business Model]:[X2 Operating Model]])/2</f>
        <v>0</v>
      </c>
      <c r="H47" s="33">
        <v>0</v>
      </c>
      <c r="I47" s="34">
        <v>0</v>
      </c>
      <c r="J47" s="34">
        <v>0</v>
      </c>
      <c r="K47" s="34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</row>
    <row r="48" spans="1:16" s="31" customFormat="1" ht="20.25" customHeight="1">
      <c r="A48" s="32" t="s">
        <v>45</v>
      </c>
      <c r="B48" s="32">
        <v>2024</v>
      </c>
      <c r="C48" s="32" t="s">
        <v>19</v>
      </c>
      <c r="D48" s="32" t="s">
        <v>46</v>
      </c>
      <c r="E48" s="32">
        <v>0.25</v>
      </c>
      <c r="F48" s="32">
        <v>0.3</v>
      </c>
      <c r="G48" s="32">
        <f>SUM(Table2[[#This Row],[X1 Business Model]:[X2 Operating Model]])/2</f>
        <v>0.27500000000000002</v>
      </c>
      <c r="H48" s="33">
        <v>0.5</v>
      </c>
      <c r="I48" s="34">
        <v>0</v>
      </c>
      <c r="J48" s="34">
        <v>0</v>
      </c>
      <c r="K48" s="34">
        <v>0.5</v>
      </c>
      <c r="L48" s="35">
        <v>0.5</v>
      </c>
      <c r="M48" s="35">
        <v>0</v>
      </c>
      <c r="N48" s="35">
        <v>0.5</v>
      </c>
      <c r="O48" s="35">
        <v>0.5</v>
      </c>
      <c r="P48" s="35">
        <v>0</v>
      </c>
    </row>
    <row r="49" spans="1:16" s="31" customFormat="1" ht="20.25" customHeight="1">
      <c r="A49" s="36" t="s">
        <v>45</v>
      </c>
      <c r="B49" s="36">
        <v>2025</v>
      </c>
      <c r="C49" s="36" t="s">
        <v>19</v>
      </c>
      <c r="D49" s="36" t="s">
        <v>46</v>
      </c>
      <c r="E49" s="36">
        <v>0.25</v>
      </c>
      <c r="F49" s="36">
        <v>0.4</v>
      </c>
      <c r="G49" s="36">
        <f>SUM(Table2[[#This Row],[X1 Business Model]:[X2 Operating Model]])/2</f>
        <v>0.32500000000000001</v>
      </c>
      <c r="H49" s="33">
        <v>0.5</v>
      </c>
      <c r="I49" s="34">
        <v>0</v>
      </c>
      <c r="J49" s="34">
        <v>0</v>
      </c>
      <c r="K49" s="34">
        <v>0.5</v>
      </c>
      <c r="L49" s="35">
        <v>0.5</v>
      </c>
      <c r="M49" s="35">
        <v>0</v>
      </c>
      <c r="N49" s="35">
        <v>0.5</v>
      </c>
      <c r="O49" s="35">
        <v>0.5</v>
      </c>
      <c r="P49" s="35">
        <v>0.5</v>
      </c>
    </row>
    <row r="50" spans="1:16" s="31" customFormat="1" ht="20.25" customHeight="1">
      <c r="A50" s="32" t="s">
        <v>48</v>
      </c>
      <c r="B50" s="32">
        <v>2022</v>
      </c>
      <c r="C50" s="32" t="s">
        <v>49</v>
      </c>
      <c r="D50" s="32" t="s">
        <v>50</v>
      </c>
      <c r="E50" s="32">
        <v>0.375</v>
      </c>
      <c r="F50" s="32">
        <v>0.1</v>
      </c>
      <c r="G50" s="32">
        <f>SUM(Table2[[#This Row],[X1 Business Model]:[X2 Operating Model]])/2</f>
        <v>0.23749999999999999</v>
      </c>
      <c r="H50" s="33">
        <v>0.5</v>
      </c>
      <c r="I50" s="34">
        <v>0.5</v>
      </c>
      <c r="J50" s="34">
        <v>0</v>
      </c>
      <c r="K50" s="34">
        <v>0.5</v>
      </c>
      <c r="L50" s="35">
        <v>0</v>
      </c>
      <c r="M50" s="35">
        <v>0</v>
      </c>
      <c r="N50" s="35">
        <v>0</v>
      </c>
      <c r="O50" s="35">
        <v>0.5</v>
      </c>
      <c r="P50" s="35">
        <v>0</v>
      </c>
    </row>
    <row r="51" spans="1:16" s="31" customFormat="1" ht="20.25" customHeight="1">
      <c r="A51" s="36" t="s">
        <v>48</v>
      </c>
      <c r="B51" s="36">
        <v>2023</v>
      </c>
      <c r="C51" s="36" t="s">
        <v>49</v>
      </c>
      <c r="D51" s="36" t="s">
        <v>50</v>
      </c>
      <c r="E51" s="36">
        <v>0.375</v>
      </c>
      <c r="F51" s="36">
        <v>0.1</v>
      </c>
      <c r="G51" s="36">
        <f>SUM(Table2[[#This Row],[X1 Business Model]:[X2 Operating Model]])/2</f>
        <v>0.23749999999999999</v>
      </c>
      <c r="H51" s="33">
        <v>0.5</v>
      </c>
      <c r="I51" s="34">
        <v>0.5</v>
      </c>
      <c r="J51" s="34">
        <v>0</v>
      </c>
      <c r="K51" s="34">
        <v>0.5</v>
      </c>
      <c r="L51" s="35">
        <v>0</v>
      </c>
      <c r="M51" s="35">
        <v>0</v>
      </c>
      <c r="N51" s="35">
        <v>0</v>
      </c>
      <c r="O51" s="35">
        <v>0.5</v>
      </c>
      <c r="P51" s="35">
        <v>0</v>
      </c>
    </row>
    <row r="52" spans="1:16" s="31" customFormat="1" ht="20.25" customHeight="1">
      <c r="A52" s="32" t="s">
        <v>48</v>
      </c>
      <c r="B52" s="32">
        <v>2024</v>
      </c>
      <c r="C52" s="32" t="s">
        <v>49</v>
      </c>
      <c r="D52" s="32" t="s">
        <v>50</v>
      </c>
      <c r="E52" s="32">
        <v>0.375</v>
      </c>
      <c r="F52" s="32">
        <v>0.1</v>
      </c>
      <c r="G52" s="32">
        <f>SUM(Table2[[#This Row],[X1 Business Model]:[X2 Operating Model]])/2</f>
        <v>0.23749999999999999</v>
      </c>
      <c r="H52" s="33">
        <v>0.5</v>
      </c>
      <c r="I52" s="34">
        <v>0.5</v>
      </c>
      <c r="J52" s="34">
        <v>0</v>
      </c>
      <c r="K52" s="34">
        <v>0.5</v>
      </c>
      <c r="L52" s="35">
        <v>0</v>
      </c>
      <c r="M52" s="35">
        <v>0</v>
      </c>
      <c r="N52" s="35">
        <v>0</v>
      </c>
      <c r="O52" s="35">
        <v>0.5</v>
      </c>
      <c r="P52" s="35">
        <v>0</v>
      </c>
    </row>
    <row r="53" spans="1:16" s="31" customFormat="1" ht="20.25" customHeight="1">
      <c r="A53" s="36" t="s">
        <v>48</v>
      </c>
      <c r="B53" s="36">
        <v>2025</v>
      </c>
      <c r="C53" s="36" t="s">
        <v>49</v>
      </c>
      <c r="D53" s="36" t="s">
        <v>50</v>
      </c>
      <c r="E53" s="36">
        <v>0.375</v>
      </c>
      <c r="F53" s="36">
        <v>0.1</v>
      </c>
      <c r="G53" s="36">
        <f>SUM(Table2[[#This Row],[X1 Business Model]:[X2 Operating Model]])/2</f>
        <v>0.23749999999999999</v>
      </c>
      <c r="H53" s="33">
        <v>0.5</v>
      </c>
      <c r="I53" s="34">
        <v>0.5</v>
      </c>
      <c r="J53" s="34">
        <v>0</v>
      </c>
      <c r="K53" s="34">
        <v>0.5</v>
      </c>
      <c r="L53" s="35">
        <v>0</v>
      </c>
      <c r="M53" s="35">
        <v>0</v>
      </c>
      <c r="N53" s="35">
        <v>0</v>
      </c>
      <c r="O53" s="35">
        <v>0.5</v>
      </c>
      <c r="P53" s="35">
        <v>0</v>
      </c>
    </row>
    <row r="54" spans="1:16" s="31" customFormat="1" ht="20.25" customHeight="1">
      <c r="A54" s="32" t="s">
        <v>51</v>
      </c>
      <c r="B54" s="32">
        <v>2022</v>
      </c>
      <c r="C54" s="32" t="s">
        <v>49</v>
      </c>
      <c r="D54" s="32" t="s">
        <v>52</v>
      </c>
      <c r="E54" s="32">
        <v>0</v>
      </c>
      <c r="F54" s="32">
        <v>0</v>
      </c>
      <c r="G54" s="32">
        <f>SUM(Table2[[#This Row],[X1 Business Model]:[X2 Operating Model]])/2</f>
        <v>0</v>
      </c>
      <c r="H54" s="33">
        <v>0</v>
      </c>
      <c r="I54" s="34">
        <v>0</v>
      </c>
      <c r="J54" s="34">
        <v>0</v>
      </c>
      <c r="K54" s="34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</row>
    <row r="55" spans="1:16" s="31" customFormat="1" ht="20.25" customHeight="1">
      <c r="A55" s="36" t="s">
        <v>51</v>
      </c>
      <c r="B55" s="36">
        <v>2023</v>
      </c>
      <c r="C55" s="36" t="s">
        <v>49</v>
      </c>
      <c r="D55" s="36" t="s">
        <v>52</v>
      </c>
      <c r="E55" s="36">
        <v>0.125</v>
      </c>
      <c r="F55" s="36">
        <v>0</v>
      </c>
      <c r="G55" s="36">
        <f>SUM(Table2[[#This Row],[X1 Business Model]:[X2 Operating Model]])/2</f>
        <v>6.25E-2</v>
      </c>
      <c r="H55" s="33">
        <v>0</v>
      </c>
      <c r="I55" s="34">
        <v>0</v>
      </c>
      <c r="J55" s="34">
        <v>0.5</v>
      </c>
      <c r="K55" s="34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</row>
    <row r="56" spans="1:16" s="31" customFormat="1" ht="20.25" customHeight="1">
      <c r="A56" s="32" t="s">
        <v>51</v>
      </c>
      <c r="B56" s="32">
        <v>2024</v>
      </c>
      <c r="C56" s="32" t="s">
        <v>49</v>
      </c>
      <c r="D56" s="32" t="s">
        <v>52</v>
      </c>
      <c r="E56" s="32">
        <v>0.5</v>
      </c>
      <c r="F56" s="32">
        <v>0.2</v>
      </c>
      <c r="G56" s="32">
        <f>SUM(Table2[[#This Row],[X1 Business Model]:[X2 Operating Model]])/2</f>
        <v>0.35</v>
      </c>
      <c r="H56" s="33">
        <v>0.5</v>
      </c>
      <c r="I56" s="34">
        <v>0.5</v>
      </c>
      <c r="J56" s="34">
        <v>0.5</v>
      </c>
      <c r="K56" s="34">
        <v>0.5</v>
      </c>
      <c r="L56" s="35">
        <v>0.5</v>
      </c>
      <c r="M56" s="35">
        <v>0</v>
      </c>
      <c r="N56" s="35">
        <v>0.5</v>
      </c>
      <c r="O56" s="35">
        <v>0</v>
      </c>
      <c r="P56" s="35">
        <v>0</v>
      </c>
    </row>
    <row r="57" spans="1:16" s="31" customFormat="1" ht="20.25" customHeight="1">
      <c r="A57" s="36" t="s">
        <v>51</v>
      </c>
      <c r="B57" s="36">
        <v>2025</v>
      </c>
      <c r="C57" s="36" t="s">
        <v>49</v>
      </c>
      <c r="D57" s="36" t="s">
        <v>52</v>
      </c>
      <c r="E57" s="36">
        <v>0.5</v>
      </c>
      <c r="F57" s="36">
        <v>0.2</v>
      </c>
      <c r="G57" s="36">
        <f>SUM(Table2[[#This Row],[X1 Business Model]:[X2 Operating Model]])/2</f>
        <v>0.35</v>
      </c>
      <c r="H57" s="33">
        <v>0.5</v>
      </c>
      <c r="I57" s="34">
        <v>0.5</v>
      </c>
      <c r="J57" s="34">
        <v>0.5</v>
      </c>
      <c r="K57" s="34">
        <v>0.5</v>
      </c>
      <c r="L57" s="35">
        <v>0.5</v>
      </c>
      <c r="M57" s="35">
        <v>0</v>
      </c>
      <c r="N57" s="35">
        <v>0.5</v>
      </c>
      <c r="O57" s="35">
        <v>0</v>
      </c>
      <c r="P57" s="35">
        <v>0</v>
      </c>
    </row>
    <row r="58" spans="1:16" s="31" customFormat="1" ht="20.25" customHeight="1">
      <c r="A58" s="32" t="s">
        <v>53</v>
      </c>
      <c r="B58" s="32">
        <v>2022</v>
      </c>
      <c r="C58" s="32" t="s">
        <v>49</v>
      </c>
      <c r="D58" s="32" t="s">
        <v>54</v>
      </c>
      <c r="E58" s="32">
        <v>0.25</v>
      </c>
      <c r="F58" s="32">
        <v>0.1</v>
      </c>
      <c r="G58" s="32">
        <f>SUM(Table2[[#This Row],[X1 Business Model]:[X2 Operating Model]])/2</f>
        <v>0.17499999999999999</v>
      </c>
      <c r="H58" s="33">
        <v>0.5</v>
      </c>
      <c r="I58" s="34">
        <v>0</v>
      </c>
      <c r="J58" s="34">
        <v>0</v>
      </c>
      <c r="K58" s="34">
        <v>0.5</v>
      </c>
      <c r="L58" s="35">
        <v>0</v>
      </c>
      <c r="M58" s="35">
        <v>0</v>
      </c>
      <c r="N58" s="35">
        <v>0.5</v>
      </c>
      <c r="O58" s="35">
        <v>0</v>
      </c>
      <c r="P58" s="35">
        <v>0</v>
      </c>
    </row>
    <row r="59" spans="1:16" s="31" customFormat="1" ht="20.25" customHeight="1">
      <c r="A59" s="36" t="s">
        <v>53</v>
      </c>
      <c r="B59" s="36">
        <v>2023</v>
      </c>
      <c r="C59" s="36" t="s">
        <v>49</v>
      </c>
      <c r="D59" s="36" t="s">
        <v>54</v>
      </c>
      <c r="E59" s="36">
        <v>0.25</v>
      </c>
      <c r="F59" s="36">
        <v>0.1</v>
      </c>
      <c r="G59" s="36">
        <f>SUM(Table2[[#This Row],[X1 Business Model]:[X2 Operating Model]])/2</f>
        <v>0.17499999999999999</v>
      </c>
      <c r="H59" s="33">
        <v>0.5</v>
      </c>
      <c r="I59" s="34">
        <v>0</v>
      </c>
      <c r="J59" s="34">
        <v>0</v>
      </c>
      <c r="K59" s="34">
        <v>0.5</v>
      </c>
      <c r="L59" s="35">
        <v>0</v>
      </c>
      <c r="M59" s="35">
        <v>0</v>
      </c>
      <c r="N59" s="35">
        <v>0.5</v>
      </c>
      <c r="O59" s="35">
        <v>0</v>
      </c>
      <c r="P59" s="35">
        <v>0</v>
      </c>
    </row>
    <row r="60" spans="1:16" s="31" customFormat="1" ht="20.25" customHeight="1">
      <c r="A60" s="32" t="s">
        <v>53</v>
      </c>
      <c r="B60" s="32">
        <v>2024</v>
      </c>
      <c r="C60" s="32" t="s">
        <v>49</v>
      </c>
      <c r="D60" s="32" t="s">
        <v>54</v>
      </c>
      <c r="E60" s="32">
        <v>0.375</v>
      </c>
      <c r="F60" s="32">
        <v>0.3</v>
      </c>
      <c r="G60" s="32">
        <f>SUM(Table2[[#This Row],[X1 Business Model]:[X2 Operating Model]])/2</f>
        <v>0.33750000000000002</v>
      </c>
      <c r="H60" s="33">
        <v>0.5</v>
      </c>
      <c r="I60" s="34">
        <v>0.5</v>
      </c>
      <c r="J60" s="34">
        <v>0</v>
      </c>
      <c r="K60" s="34">
        <v>0.5</v>
      </c>
      <c r="L60" s="35">
        <v>0.5</v>
      </c>
      <c r="M60" s="35">
        <v>0</v>
      </c>
      <c r="N60" s="35">
        <v>0.5</v>
      </c>
      <c r="O60" s="35">
        <v>0.5</v>
      </c>
      <c r="P60" s="35">
        <v>0</v>
      </c>
    </row>
    <row r="61" spans="1:16" s="31" customFormat="1" ht="20.25" customHeight="1">
      <c r="A61" s="36" t="s">
        <v>53</v>
      </c>
      <c r="B61" s="36">
        <v>2025</v>
      </c>
      <c r="C61" s="36" t="s">
        <v>49</v>
      </c>
      <c r="D61" s="36" t="s">
        <v>54</v>
      </c>
      <c r="E61" s="36">
        <v>0.5</v>
      </c>
      <c r="F61" s="36">
        <v>0.4</v>
      </c>
      <c r="G61" s="36">
        <f>SUM(Table2[[#This Row],[X1 Business Model]:[X2 Operating Model]])/2</f>
        <v>0.45</v>
      </c>
      <c r="H61" s="33">
        <v>0.5</v>
      </c>
      <c r="I61" s="34">
        <v>0.5</v>
      </c>
      <c r="J61" s="34">
        <v>0.5</v>
      </c>
      <c r="K61" s="34">
        <v>0.5</v>
      </c>
      <c r="L61" s="35">
        <v>0.5</v>
      </c>
      <c r="M61" s="35">
        <v>0.5</v>
      </c>
      <c r="N61" s="35">
        <v>0.5</v>
      </c>
      <c r="O61" s="35">
        <v>0.5</v>
      </c>
      <c r="P61" s="35">
        <v>0</v>
      </c>
    </row>
    <row r="62" spans="1:16" s="31" customFormat="1" ht="20.25" customHeight="1">
      <c r="A62" s="32" t="s">
        <v>56</v>
      </c>
      <c r="B62" s="32">
        <v>2022</v>
      </c>
      <c r="C62" s="32" t="s">
        <v>49</v>
      </c>
      <c r="D62" s="32" t="s">
        <v>23</v>
      </c>
      <c r="E62" s="32">
        <v>0</v>
      </c>
      <c r="F62" s="32">
        <v>0</v>
      </c>
      <c r="G62" s="32">
        <f>SUM(Table2[[#This Row],[X1 Business Model]:[X2 Operating Model]])/2</f>
        <v>0</v>
      </c>
      <c r="H62" s="33">
        <v>0</v>
      </c>
      <c r="I62" s="34">
        <v>0</v>
      </c>
      <c r="J62" s="34">
        <v>0</v>
      </c>
      <c r="K62" s="34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</row>
    <row r="63" spans="1:16" s="31" customFormat="1" ht="20.25" customHeight="1">
      <c r="A63" s="36" t="s">
        <v>56</v>
      </c>
      <c r="B63" s="36">
        <v>2023</v>
      </c>
      <c r="C63" s="36" t="s">
        <v>49</v>
      </c>
      <c r="D63" s="36" t="s">
        <v>23</v>
      </c>
      <c r="E63" s="36">
        <v>0.375</v>
      </c>
      <c r="F63" s="36">
        <v>0.2</v>
      </c>
      <c r="G63" s="36">
        <f>SUM(Table2[[#This Row],[X1 Business Model]:[X2 Operating Model]])/2</f>
        <v>0.28749999999999998</v>
      </c>
      <c r="H63" s="33">
        <v>0.5</v>
      </c>
      <c r="I63" s="34">
        <v>0.5</v>
      </c>
      <c r="J63" s="34">
        <v>0</v>
      </c>
      <c r="K63" s="34">
        <v>0.5</v>
      </c>
      <c r="L63" s="35">
        <v>0.5</v>
      </c>
      <c r="M63" s="35">
        <v>0</v>
      </c>
      <c r="N63" s="35">
        <v>0</v>
      </c>
      <c r="O63" s="35">
        <v>0.5</v>
      </c>
      <c r="P63" s="35">
        <v>0</v>
      </c>
    </row>
    <row r="64" spans="1:16" s="31" customFormat="1" ht="20.25" customHeight="1">
      <c r="A64" s="32" t="s">
        <v>56</v>
      </c>
      <c r="B64" s="32">
        <v>2024</v>
      </c>
      <c r="C64" s="32" t="s">
        <v>49</v>
      </c>
      <c r="D64" s="32" t="s">
        <v>23</v>
      </c>
      <c r="E64" s="32">
        <v>0.5</v>
      </c>
      <c r="F64" s="32">
        <v>0.2</v>
      </c>
      <c r="G64" s="32">
        <f>SUM(Table2[[#This Row],[X1 Business Model]:[X2 Operating Model]])/2</f>
        <v>0.35</v>
      </c>
      <c r="H64" s="33">
        <v>0.5</v>
      </c>
      <c r="I64" s="34">
        <v>0.5</v>
      </c>
      <c r="J64" s="34">
        <v>0.5</v>
      </c>
      <c r="K64" s="34">
        <v>0.5</v>
      </c>
      <c r="L64" s="35">
        <v>0.5</v>
      </c>
      <c r="M64" s="35">
        <v>0</v>
      </c>
      <c r="N64" s="35">
        <v>0</v>
      </c>
      <c r="O64" s="35">
        <v>0.5</v>
      </c>
      <c r="P64" s="35">
        <v>0</v>
      </c>
    </row>
    <row r="65" spans="1:16" s="31" customFormat="1" ht="20.25" customHeight="1">
      <c r="A65" s="36" t="s">
        <v>56</v>
      </c>
      <c r="B65" s="36">
        <v>2025</v>
      </c>
      <c r="C65" s="36" t="s">
        <v>49</v>
      </c>
      <c r="D65" s="36" t="s">
        <v>23</v>
      </c>
      <c r="E65" s="36">
        <v>0.5</v>
      </c>
      <c r="F65" s="36">
        <v>0.4</v>
      </c>
      <c r="G65" s="36">
        <f>SUM(Table2[[#This Row],[X1 Business Model]:[X2 Operating Model]])/2</f>
        <v>0.45</v>
      </c>
      <c r="H65" s="33">
        <v>0.5</v>
      </c>
      <c r="I65" s="34">
        <v>0.5</v>
      </c>
      <c r="J65" s="34">
        <v>0.5</v>
      </c>
      <c r="K65" s="34">
        <v>0.5</v>
      </c>
      <c r="L65" s="35">
        <v>1</v>
      </c>
      <c r="M65" s="35">
        <v>0</v>
      </c>
      <c r="N65" s="35">
        <v>0.5</v>
      </c>
      <c r="O65" s="35">
        <v>0.5</v>
      </c>
      <c r="P65" s="35">
        <v>0</v>
      </c>
    </row>
    <row r="66" spans="1:16" s="31" customFormat="1" ht="20.25" customHeight="1">
      <c r="A66" s="32" t="s">
        <v>57</v>
      </c>
      <c r="B66" s="32">
        <v>2022</v>
      </c>
      <c r="C66" s="32" t="s">
        <v>49</v>
      </c>
      <c r="D66" s="32" t="s">
        <v>58</v>
      </c>
      <c r="E66" s="32">
        <v>0</v>
      </c>
      <c r="F66" s="32">
        <v>0</v>
      </c>
      <c r="G66" s="32">
        <f>SUM(Table2[[#This Row],[X1 Business Model]:[X2 Operating Model]])/2</f>
        <v>0</v>
      </c>
      <c r="H66" s="33">
        <v>0</v>
      </c>
      <c r="I66" s="34">
        <v>0</v>
      </c>
      <c r="J66" s="34">
        <v>0</v>
      </c>
      <c r="K66" s="34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</row>
    <row r="67" spans="1:16" s="31" customFormat="1" ht="20.25" customHeight="1">
      <c r="A67" s="36" t="s">
        <v>57</v>
      </c>
      <c r="B67" s="36">
        <v>2023</v>
      </c>
      <c r="C67" s="36" t="s">
        <v>49</v>
      </c>
      <c r="D67" s="36" t="s">
        <v>58</v>
      </c>
      <c r="E67" s="36">
        <v>0.25</v>
      </c>
      <c r="F67" s="36">
        <v>0.3</v>
      </c>
      <c r="G67" s="36">
        <f>SUM(Table2[[#This Row],[X1 Business Model]:[X2 Operating Model]])/2</f>
        <v>0.27500000000000002</v>
      </c>
      <c r="H67" s="33">
        <v>0.5</v>
      </c>
      <c r="I67" s="34">
        <v>0.5</v>
      </c>
      <c r="J67" s="34">
        <v>0</v>
      </c>
      <c r="K67" s="34">
        <v>0</v>
      </c>
      <c r="L67" s="35">
        <v>0</v>
      </c>
      <c r="M67" s="35">
        <v>0.5</v>
      </c>
      <c r="N67" s="35">
        <v>0.5</v>
      </c>
      <c r="O67" s="35">
        <v>0.5</v>
      </c>
      <c r="P67" s="35">
        <v>0</v>
      </c>
    </row>
    <row r="68" spans="1:16" s="31" customFormat="1" ht="20.25" customHeight="1">
      <c r="A68" s="32" t="s">
        <v>57</v>
      </c>
      <c r="B68" s="32">
        <v>2024</v>
      </c>
      <c r="C68" s="32" t="s">
        <v>49</v>
      </c>
      <c r="D68" s="32" t="s">
        <v>58</v>
      </c>
      <c r="E68" s="32">
        <v>0.375</v>
      </c>
      <c r="F68" s="32">
        <v>0.3</v>
      </c>
      <c r="G68" s="32">
        <f>SUM(Table2[[#This Row],[X1 Business Model]:[X2 Operating Model]])/2</f>
        <v>0.33750000000000002</v>
      </c>
      <c r="H68" s="33">
        <v>0.5</v>
      </c>
      <c r="I68" s="34">
        <v>0.5</v>
      </c>
      <c r="J68" s="34">
        <v>0</v>
      </c>
      <c r="K68" s="34">
        <v>0.5</v>
      </c>
      <c r="L68" s="35">
        <v>0</v>
      </c>
      <c r="M68" s="35">
        <v>0.5</v>
      </c>
      <c r="N68" s="35">
        <v>0.5</v>
      </c>
      <c r="O68" s="35">
        <v>0.5</v>
      </c>
      <c r="P68" s="35">
        <v>0</v>
      </c>
    </row>
    <row r="69" spans="1:16" s="31" customFormat="1" ht="20.25" customHeight="1">
      <c r="A69" s="36" t="s">
        <v>57</v>
      </c>
      <c r="B69" s="36">
        <v>2025</v>
      </c>
      <c r="C69" s="36" t="s">
        <v>49</v>
      </c>
      <c r="D69" s="36" t="s">
        <v>58</v>
      </c>
      <c r="E69" s="36">
        <v>0.375</v>
      </c>
      <c r="F69" s="36">
        <v>0.3</v>
      </c>
      <c r="G69" s="36">
        <f>SUM(Table2[[#This Row],[X1 Business Model]:[X2 Operating Model]])/2</f>
        <v>0.33750000000000002</v>
      </c>
      <c r="H69" s="33">
        <v>0.5</v>
      </c>
      <c r="I69" s="34">
        <v>0.5</v>
      </c>
      <c r="J69" s="34">
        <v>0</v>
      </c>
      <c r="K69" s="34">
        <v>0.5</v>
      </c>
      <c r="L69" s="35">
        <v>0</v>
      </c>
      <c r="M69" s="35">
        <v>0.5</v>
      </c>
      <c r="N69" s="35">
        <v>0.5</v>
      </c>
      <c r="O69" s="35">
        <v>0.5</v>
      </c>
      <c r="P69" s="35">
        <v>0</v>
      </c>
    </row>
    <row r="70" spans="1:16" s="31" customFormat="1" ht="20.25" customHeight="1">
      <c r="A70" s="32" t="s">
        <v>59</v>
      </c>
      <c r="B70" s="32">
        <v>2022</v>
      </c>
      <c r="C70" s="32" t="s">
        <v>49</v>
      </c>
      <c r="D70" s="32" t="s">
        <v>60</v>
      </c>
      <c r="E70" s="32">
        <v>0</v>
      </c>
      <c r="F70" s="32">
        <v>0</v>
      </c>
      <c r="G70" s="32">
        <f>SUM(Table2[[#This Row],[X1 Business Model]:[X2 Operating Model]])/2</f>
        <v>0</v>
      </c>
      <c r="H70" s="33">
        <v>0</v>
      </c>
      <c r="I70" s="34">
        <v>0</v>
      </c>
      <c r="J70" s="34">
        <v>0</v>
      </c>
      <c r="K70" s="34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</row>
    <row r="71" spans="1:16" s="31" customFormat="1" ht="20.25" customHeight="1">
      <c r="A71" s="36" t="s">
        <v>59</v>
      </c>
      <c r="B71" s="36">
        <v>2023</v>
      </c>
      <c r="C71" s="36" t="s">
        <v>49</v>
      </c>
      <c r="D71" s="36" t="s">
        <v>60</v>
      </c>
      <c r="E71" s="36">
        <v>0</v>
      </c>
      <c r="F71" s="36">
        <v>0</v>
      </c>
      <c r="G71" s="36">
        <f>SUM(Table2[[#This Row],[X1 Business Model]:[X2 Operating Model]])/2</f>
        <v>0</v>
      </c>
      <c r="H71" s="33">
        <v>0</v>
      </c>
      <c r="I71" s="34">
        <v>0</v>
      </c>
      <c r="J71" s="34">
        <v>0</v>
      </c>
      <c r="K71" s="34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</row>
    <row r="72" spans="1:16" s="31" customFormat="1" ht="20.25" customHeight="1">
      <c r="A72" s="32" t="s">
        <v>59</v>
      </c>
      <c r="B72" s="32">
        <v>2024</v>
      </c>
      <c r="C72" s="32" t="s">
        <v>49</v>
      </c>
      <c r="D72" s="32" t="s">
        <v>60</v>
      </c>
      <c r="E72" s="32">
        <v>0.125</v>
      </c>
      <c r="F72" s="32">
        <v>0</v>
      </c>
      <c r="G72" s="32">
        <f>SUM(Table2[[#This Row],[X1 Business Model]:[X2 Operating Model]])/2</f>
        <v>6.25E-2</v>
      </c>
      <c r="H72" s="33">
        <v>0</v>
      </c>
      <c r="I72" s="34">
        <v>0</v>
      </c>
      <c r="J72" s="34">
        <v>0</v>
      </c>
      <c r="K72" s="34">
        <v>0.5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</row>
    <row r="73" spans="1:16" s="31" customFormat="1" ht="20.25" customHeight="1">
      <c r="A73" s="36" t="s">
        <v>59</v>
      </c>
      <c r="B73" s="36">
        <v>2025</v>
      </c>
      <c r="C73" s="36" t="s">
        <v>49</v>
      </c>
      <c r="D73" s="36" t="s">
        <v>60</v>
      </c>
      <c r="E73" s="36">
        <v>0.375</v>
      </c>
      <c r="F73" s="36">
        <v>0.1</v>
      </c>
      <c r="G73" s="36">
        <f>SUM(Table2[[#This Row],[X1 Business Model]:[X2 Operating Model]])/2</f>
        <v>0.23749999999999999</v>
      </c>
      <c r="H73" s="33">
        <v>0.5</v>
      </c>
      <c r="I73" s="34">
        <v>0.5</v>
      </c>
      <c r="J73" s="34">
        <v>0</v>
      </c>
      <c r="K73" s="34">
        <v>0.5</v>
      </c>
      <c r="L73" s="35">
        <v>0</v>
      </c>
      <c r="M73" s="35">
        <v>0</v>
      </c>
      <c r="N73" s="35">
        <v>0.5</v>
      </c>
      <c r="O73" s="35">
        <v>0</v>
      </c>
      <c r="P73" s="35">
        <v>0</v>
      </c>
    </row>
    <row r="74" spans="1:16" s="31" customFormat="1" ht="20.25" customHeight="1">
      <c r="A74" s="32" t="s">
        <v>62</v>
      </c>
      <c r="B74" s="32">
        <v>2022</v>
      </c>
      <c r="C74" s="32" t="s">
        <v>49</v>
      </c>
      <c r="D74" s="32" t="s">
        <v>63</v>
      </c>
      <c r="E74" s="32">
        <v>0.25</v>
      </c>
      <c r="F74" s="32">
        <v>0.1</v>
      </c>
      <c r="G74" s="32">
        <f>SUM(Table2[[#This Row],[X1 Business Model]:[X2 Operating Model]])/2</f>
        <v>0.17499999999999999</v>
      </c>
      <c r="H74" s="33">
        <v>0.5</v>
      </c>
      <c r="I74" s="34">
        <v>0</v>
      </c>
      <c r="J74" s="34">
        <v>0</v>
      </c>
      <c r="K74" s="34">
        <v>0.5</v>
      </c>
      <c r="L74" s="35">
        <v>0</v>
      </c>
      <c r="M74" s="35">
        <v>0</v>
      </c>
      <c r="N74" s="35">
        <v>0.5</v>
      </c>
      <c r="O74" s="35">
        <v>0</v>
      </c>
      <c r="P74" s="35">
        <v>0</v>
      </c>
    </row>
    <row r="75" spans="1:16" s="31" customFormat="1" ht="20.25" customHeight="1">
      <c r="A75" s="36" t="s">
        <v>62</v>
      </c>
      <c r="B75" s="36">
        <v>2023</v>
      </c>
      <c r="C75" s="36" t="s">
        <v>49</v>
      </c>
      <c r="D75" s="36" t="s">
        <v>63</v>
      </c>
      <c r="E75" s="36">
        <v>0.25</v>
      </c>
      <c r="F75" s="36">
        <v>0.1</v>
      </c>
      <c r="G75" s="36">
        <f>SUM(Table2[[#This Row],[X1 Business Model]:[X2 Operating Model]])/2</f>
        <v>0.17499999999999999</v>
      </c>
      <c r="H75" s="33">
        <v>0.5</v>
      </c>
      <c r="I75" s="34">
        <v>0</v>
      </c>
      <c r="J75" s="34">
        <v>0</v>
      </c>
      <c r="K75" s="34">
        <v>0.5</v>
      </c>
      <c r="L75" s="35">
        <v>0</v>
      </c>
      <c r="M75" s="35">
        <v>0</v>
      </c>
      <c r="N75" s="35">
        <v>0.5</v>
      </c>
      <c r="O75" s="35">
        <v>0</v>
      </c>
      <c r="P75" s="35">
        <v>0</v>
      </c>
    </row>
    <row r="76" spans="1:16" s="31" customFormat="1" ht="20.25" customHeight="1">
      <c r="A76" s="32" t="s">
        <v>62</v>
      </c>
      <c r="B76" s="32">
        <v>2024</v>
      </c>
      <c r="C76" s="32" t="s">
        <v>49</v>
      </c>
      <c r="D76" s="32" t="s">
        <v>63</v>
      </c>
      <c r="E76" s="32">
        <v>0.25</v>
      </c>
      <c r="F76" s="32">
        <v>0.1</v>
      </c>
      <c r="G76" s="32">
        <f>SUM(Table2[[#This Row],[X1 Business Model]:[X2 Operating Model]])/2</f>
        <v>0.17499999999999999</v>
      </c>
      <c r="H76" s="33">
        <v>0.5</v>
      </c>
      <c r="I76" s="34">
        <v>0</v>
      </c>
      <c r="J76" s="34">
        <v>0</v>
      </c>
      <c r="K76" s="34">
        <v>0.5</v>
      </c>
      <c r="L76" s="35">
        <v>0</v>
      </c>
      <c r="M76" s="35">
        <v>0</v>
      </c>
      <c r="N76" s="35">
        <v>0.5</v>
      </c>
      <c r="O76" s="35">
        <v>0</v>
      </c>
      <c r="P76" s="35">
        <v>0</v>
      </c>
    </row>
    <row r="77" spans="1:16" s="31" customFormat="1" ht="20.25" customHeight="1">
      <c r="A77" s="36" t="s">
        <v>62</v>
      </c>
      <c r="B77" s="36">
        <v>2025</v>
      </c>
      <c r="C77" s="36" t="s">
        <v>49</v>
      </c>
      <c r="D77" s="36" t="s">
        <v>63</v>
      </c>
      <c r="E77" s="36">
        <v>0.25</v>
      </c>
      <c r="F77" s="36">
        <v>0.1</v>
      </c>
      <c r="G77" s="36">
        <f>SUM(Table2[[#This Row],[X1 Business Model]:[X2 Operating Model]])/2</f>
        <v>0.17499999999999999</v>
      </c>
      <c r="H77" s="33">
        <v>0.5</v>
      </c>
      <c r="I77" s="34">
        <v>0</v>
      </c>
      <c r="J77" s="34">
        <v>0</v>
      </c>
      <c r="K77" s="34">
        <v>0.5</v>
      </c>
      <c r="L77" s="35">
        <v>0</v>
      </c>
      <c r="M77" s="35">
        <v>0</v>
      </c>
      <c r="N77" s="35">
        <v>0.5</v>
      </c>
      <c r="O77" s="35">
        <v>0</v>
      </c>
      <c r="P77" s="35">
        <v>0</v>
      </c>
    </row>
    <row r="78" spans="1:16" s="31" customFormat="1" ht="20.25" customHeight="1">
      <c r="A78" s="32" t="s">
        <v>65</v>
      </c>
      <c r="B78" s="32">
        <v>2022</v>
      </c>
      <c r="C78" s="32" t="s">
        <v>49</v>
      </c>
      <c r="D78" s="32" t="s">
        <v>66</v>
      </c>
      <c r="E78" s="32">
        <v>0.375</v>
      </c>
      <c r="F78" s="32">
        <v>0.2</v>
      </c>
      <c r="G78" s="32">
        <f>SUM(Table2[[#This Row],[X1 Business Model]:[X2 Operating Model]])/2</f>
        <v>0.28749999999999998</v>
      </c>
      <c r="H78" s="33">
        <v>0.5</v>
      </c>
      <c r="I78" s="34">
        <v>0</v>
      </c>
      <c r="J78" s="34">
        <v>0.5</v>
      </c>
      <c r="K78" s="34">
        <v>0.5</v>
      </c>
      <c r="L78" s="35">
        <v>0.5</v>
      </c>
      <c r="M78" s="35">
        <v>0</v>
      </c>
      <c r="N78" s="35">
        <v>0</v>
      </c>
      <c r="O78" s="35">
        <v>0.5</v>
      </c>
      <c r="P78" s="35">
        <v>0</v>
      </c>
    </row>
    <row r="79" spans="1:16" s="31" customFormat="1" ht="20.25" customHeight="1">
      <c r="A79" s="36" t="s">
        <v>65</v>
      </c>
      <c r="B79" s="36">
        <v>2023</v>
      </c>
      <c r="C79" s="36" t="s">
        <v>49</v>
      </c>
      <c r="D79" s="36" t="s">
        <v>66</v>
      </c>
      <c r="E79" s="36">
        <v>0.375</v>
      </c>
      <c r="F79" s="36">
        <v>0.2</v>
      </c>
      <c r="G79" s="36">
        <f>SUM(Table2[[#This Row],[X1 Business Model]:[X2 Operating Model]])/2</f>
        <v>0.28749999999999998</v>
      </c>
      <c r="H79" s="33">
        <v>0.5</v>
      </c>
      <c r="I79" s="34">
        <v>0</v>
      </c>
      <c r="J79" s="34">
        <v>0.5</v>
      </c>
      <c r="K79" s="34">
        <v>0.5</v>
      </c>
      <c r="L79" s="35">
        <v>0.5</v>
      </c>
      <c r="M79" s="35">
        <v>0</v>
      </c>
      <c r="N79" s="35">
        <v>0</v>
      </c>
      <c r="O79" s="35">
        <v>0.5</v>
      </c>
      <c r="P79" s="35">
        <v>0</v>
      </c>
    </row>
    <row r="80" spans="1:16" s="31" customFormat="1" ht="20.25" customHeight="1">
      <c r="A80" s="32" t="s">
        <v>65</v>
      </c>
      <c r="B80" s="32">
        <v>2024</v>
      </c>
      <c r="C80" s="32" t="s">
        <v>49</v>
      </c>
      <c r="D80" s="32" t="s">
        <v>66</v>
      </c>
      <c r="E80" s="32">
        <v>0.5</v>
      </c>
      <c r="F80" s="32">
        <v>0.2</v>
      </c>
      <c r="G80" s="32">
        <f>SUM(Table2[[#This Row],[X1 Business Model]:[X2 Operating Model]])/2</f>
        <v>0.35</v>
      </c>
      <c r="H80" s="33">
        <v>0.5</v>
      </c>
      <c r="I80" s="34">
        <v>0.5</v>
      </c>
      <c r="J80" s="34">
        <v>0.5</v>
      </c>
      <c r="K80" s="34">
        <v>0.5</v>
      </c>
      <c r="L80" s="35">
        <v>0.5</v>
      </c>
      <c r="M80" s="35">
        <v>0</v>
      </c>
      <c r="N80" s="35">
        <v>0</v>
      </c>
      <c r="O80" s="35">
        <v>0.5</v>
      </c>
      <c r="P80" s="35">
        <v>0</v>
      </c>
    </row>
    <row r="81" spans="1:16" s="31" customFormat="1" ht="20.25" customHeight="1">
      <c r="A81" s="36" t="s">
        <v>65</v>
      </c>
      <c r="B81" s="36">
        <v>2025</v>
      </c>
      <c r="C81" s="36" t="s">
        <v>49</v>
      </c>
      <c r="D81" s="36" t="s">
        <v>66</v>
      </c>
      <c r="E81" s="36">
        <v>0.5</v>
      </c>
      <c r="F81" s="36">
        <v>0.2</v>
      </c>
      <c r="G81" s="36">
        <f>SUM(Table2[[#This Row],[X1 Business Model]:[X2 Operating Model]])/2</f>
        <v>0.35</v>
      </c>
      <c r="H81" s="33">
        <v>0.5</v>
      </c>
      <c r="I81" s="34">
        <v>0.5</v>
      </c>
      <c r="J81" s="34">
        <v>0.5</v>
      </c>
      <c r="K81" s="34">
        <v>0.5</v>
      </c>
      <c r="L81" s="35">
        <v>0.5</v>
      </c>
      <c r="M81" s="35">
        <v>0</v>
      </c>
      <c r="N81" s="35">
        <v>0</v>
      </c>
      <c r="O81" s="35">
        <v>0.5</v>
      </c>
      <c r="P81" s="35">
        <v>0</v>
      </c>
    </row>
    <row r="82" spans="1:16" s="31" customFormat="1" ht="20.25" customHeight="1">
      <c r="A82" s="32" t="s">
        <v>67</v>
      </c>
      <c r="B82" s="32">
        <v>2022</v>
      </c>
      <c r="C82" s="32" t="s">
        <v>49</v>
      </c>
      <c r="D82" s="32" t="s">
        <v>68</v>
      </c>
      <c r="E82" s="32">
        <v>0</v>
      </c>
      <c r="F82" s="32">
        <v>0</v>
      </c>
      <c r="G82" s="32">
        <f>SUM(Table2[[#This Row],[X1 Business Model]:[X2 Operating Model]])/2</f>
        <v>0</v>
      </c>
      <c r="H82" s="33">
        <v>0</v>
      </c>
      <c r="I82" s="34">
        <v>0</v>
      </c>
      <c r="J82" s="34">
        <v>0</v>
      </c>
      <c r="K82" s="34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</row>
    <row r="83" spans="1:16" s="31" customFormat="1" ht="20.25" customHeight="1">
      <c r="A83" s="36" t="s">
        <v>67</v>
      </c>
      <c r="B83" s="36">
        <v>2023</v>
      </c>
      <c r="C83" s="36" t="s">
        <v>49</v>
      </c>
      <c r="D83" s="36" t="s">
        <v>68</v>
      </c>
      <c r="E83" s="36">
        <v>0</v>
      </c>
      <c r="F83" s="36">
        <v>0</v>
      </c>
      <c r="G83" s="36">
        <f>SUM(Table2[[#This Row],[X1 Business Model]:[X2 Operating Model]])/2</f>
        <v>0</v>
      </c>
      <c r="H83" s="33">
        <v>0</v>
      </c>
      <c r="I83" s="34">
        <v>0</v>
      </c>
      <c r="J83" s="34">
        <v>0</v>
      </c>
      <c r="K83" s="34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</row>
    <row r="84" spans="1:16" s="31" customFormat="1" ht="20.25" customHeight="1">
      <c r="A84" s="32" t="s">
        <v>67</v>
      </c>
      <c r="B84" s="32">
        <v>2024</v>
      </c>
      <c r="C84" s="32" t="s">
        <v>49</v>
      </c>
      <c r="D84" s="32" t="s">
        <v>68</v>
      </c>
      <c r="E84" s="32">
        <v>0.375</v>
      </c>
      <c r="F84" s="32">
        <v>0.1</v>
      </c>
      <c r="G84" s="32">
        <f>SUM(Table2[[#This Row],[X1 Business Model]:[X2 Operating Model]])/2</f>
        <v>0.23749999999999999</v>
      </c>
      <c r="H84" s="33">
        <v>0.5</v>
      </c>
      <c r="I84" s="34">
        <v>0.5</v>
      </c>
      <c r="J84" s="34">
        <v>0</v>
      </c>
      <c r="K84" s="34">
        <v>0.5</v>
      </c>
      <c r="L84" s="35">
        <v>0</v>
      </c>
      <c r="M84" s="35">
        <v>0.5</v>
      </c>
      <c r="N84" s="35">
        <v>0</v>
      </c>
      <c r="O84" s="35">
        <v>0</v>
      </c>
      <c r="P84" s="35">
        <v>0</v>
      </c>
    </row>
    <row r="85" spans="1:16" s="31" customFormat="1" ht="20.25" customHeight="1">
      <c r="A85" s="36" t="s">
        <v>67</v>
      </c>
      <c r="B85" s="36">
        <v>2025</v>
      </c>
      <c r="C85" s="36" t="s">
        <v>49</v>
      </c>
      <c r="D85" s="36" t="s">
        <v>68</v>
      </c>
      <c r="E85" s="36">
        <v>0.375</v>
      </c>
      <c r="F85" s="36">
        <v>0.1</v>
      </c>
      <c r="G85" s="36">
        <f>SUM(Table2[[#This Row],[X1 Business Model]:[X2 Operating Model]])/2</f>
        <v>0.23749999999999999</v>
      </c>
      <c r="H85" s="33">
        <v>0.5</v>
      </c>
      <c r="I85" s="34">
        <v>0.5</v>
      </c>
      <c r="J85" s="34">
        <v>0</v>
      </c>
      <c r="K85" s="34">
        <v>0.5</v>
      </c>
      <c r="L85" s="35">
        <v>0</v>
      </c>
      <c r="M85" s="35">
        <v>0.5</v>
      </c>
      <c r="N85" s="35">
        <v>0</v>
      </c>
      <c r="O85" s="35">
        <v>0</v>
      </c>
      <c r="P85" s="35">
        <v>0</v>
      </c>
    </row>
    <row r="86" spans="1:16" s="31" customFormat="1" ht="20.25" customHeight="1">
      <c r="A86" s="32" t="s">
        <v>69</v>
      </c>
      <c r="B86" s="32">
        <v>2022</v>
      </c>
      <c r="C86" s="32" t="s">
        <v>49</v>
      </c>
      <c r="D86" s="32" t="s">
        <v>70</v>
      </c>
      <c r="E86" s="32">
        <v>0</v>
      </c>
      <c r="F86" s="32">
        <v>0</v>
      </c>
      <c r="G86" s="32">
        <f>SUM(Table2[[#This Row],[X1 Business Model]:[X2 Operating Model]])/2</f>
        <v>0</v>
      </c>
      <c r="H86" s="33">
        <v>0</v>
      </c>
      <c r="I86" s="34">
        <v>0</v>
      </c>
      <c r="J86" s="34">
        <v>0</v>
      </c>
      <c r="K86" s="34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</row>
    <row r="87" spans="1:16" s="31" customFormat="1" ht="20.25" customHeight="1">
      <c r="A87" s="36" t="s">
        <v>69</v>
      </c>
      <c r="B87" s="36">
        <v>2023</v>
      </c>
      <c r="C87" s="36" t="s">
        <v>49</v>
      </c>
      <c r="D87" s="36" t="s">
        <v>70</v>
      </c>
      <c r="E87" s="36">
        <v>0</v>
      </c>
      <c r="F87" s="36">
        <v>0</v>
      </c>
      <c r="G87" s="36">
        <f>SUM(Table2[[#This Row],[X1 Business Model]:[X2 Operating Model]])/2</f>
        <v>0</v>
      </c>
      <c r="H87" s="33">
        <v>0</v>
      </c>
      <c r="I87" s="34">
        <v>0</v>
      </c>
      <c r="J87" s="34">
        <v>0</v>
      </c>
      <c r="K87" s="34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</row>
    <row r="88" spans="1:16" s="31" customFormat="1" ht="20.25" customHeight="1">
      <c r="A88" s="32" t="s">
        <v>69</v>
      </c>
      <c r="B88" s="32">
        <v>2024</v>
      </c>
      <c r="C88" s="32" t="s">
        <v>49</v>
      </c>
      <c r="D88" s="32" t="s">
        <v>70</v>
      </c>
      <c r="E88" s="32">
        <v>0.25</v>
      </c>
      <c r="F88" s="32">
        <v>0.1</v>
      </c>
      <c r="G88" s="32">
        <f>SUM(Table2[[#This Row],[X1 Business Model]:[X2 Operating Model]])/2</f>
        <v>0.17499999999999999</v>
      </c>
      <c r="H88" s="33">
        <v>0.5</v>
      </c>
      <c r="I88" s="34">
        <v>0</v>
      </c>
      <c r="J88" s="34">
        <v>0</v>
      </c>
      <c r="K88" s="34">
        <v>0.5</v>
      </c>
      <c r="L88" s="35">
        <v>0</v>
      </c>
      <c r="M88" s="35">
        <v>0</v>
      </c>
      <c r="N88" s="35">
        <v>0</v>
      </c>
      <c r="O88" s="35">
        <v>0.5</v>
      </c>
      <c r="P88" s="35">
        <v>0</v>
      </c>
    </row>
    <row r="89" spans="1:16" s="31" customFormat="1" ht="20.25" customHeight="1">
      <c r="A89" s="36" t="s">
        <v>69</v>
      </c>
      <c r="B89" s="36">
        <v>2025</v>
      </c>
      <c r="C89" s="36" t="s">
        <v>49</v>
      </c>
      <c r="D89" s="36" t="s">
        <v>70</v>
      </c>
      <c r="E89" s="36">
        <v>0.25</v>
      </c>
      <c r="F89" s="36">
        <v>0.1</v>
      </c>
      <c r="G89" s="36">
        <f>SUM(Table2[[#This Row],[X1 Business Model]:[X2 Operating Model]])/2</f>
        <v>0.17499999999999999</v>
      </c>
      <c r="H89" s="33">
        <v>0.5</v>
      </c>
      <c r="I89" s="34">
        <v>0</v>
      </c>
      <c r="J89" s="34">
        <v>0</v>
      </c>
      <c r="K89" s="34">
        <v>0.5</v>
      </c>
      <c r="L89" s="35">
        <v>0</v>
      </c>
      <c r="M89" s="35">
        <v>0</v>
      </c>
      <c r="N89" s="35">
        <v>0</v>
      </c>
      <c r="O89" s="35">
        <v>0.5</v>
      </c>
      <c r="P89" s="35">
        <v>0</v>
      </c>
    </row>
    <row r="90" spans="1:16" s="31" customFormat="1" ht="20.25" customHeight="1">
      <c r="A90" s="32" t="s">
        <v>71</v>
      </c>
      <c r="B90" s="32">
        <v>2022</v>
      </c>
      <c r="C90" s="32" t="s">
        <v>49</v>
      </c>
      <c r="D90" s="32" t="s">
        <v>72</v>
      </c>
      <c r="E90" s="32">
        <v>0</v>
      </c>
      <c r="F90" s="32">
        <v>0</v>
      </c>
      <c r="G90" s="32">
        <f>SUM(Table2[[#This Row],[X1 Business Model]:[X2 Operating Model]])/2</f>
        <v>0</v>
      </c>
      <c r="H90" s="33">
        <v>0</v>
      </c>
      <c r="I90" s="34">
        <v>0</v>
      </c>
      <c r="J90" s="34">
        <v>0</v>
      </c>
      <c r="K90" s="34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</row>
    <row r="91" spans="1:16" s="31" customFormat="1" ht="20.25" customHeight="1">
      <c r="A91" s="36" t="s">
        <v>71</v>
      </c>
      <c r="B91" s="36">
        <v>2023</v>
      </c>
      <c r="C91" s="36" t="s">
        <v>49</v>
      </c>
      <c r="D91" s="36" t="s">
        <v>72</v>
      </c>
      <c r="E91" s="36">
        <v>0.125</v>
      </c>
      <c r="F91" s="36">
        <v>0</v>
      </c>
      <c r="G91" s="36">
        <f>SUM(Table2[[#This Row],[X1 Business Model]:[X2 Operating Model]])/2</f>
        <v>6.25E-2</v>
      </c>
      <c r="H91" s="33">
        <v>0</v>
      </c>
      <c r="I91" s="34">
        <v>0</v>
      </c>
      <c r="J91" s="34">
        <v>0.5</v>
      </c>
      <c r="K91" s="34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</row>
    <row r="92" spans="1:16" s="31" customFormat="1" ht="20.25" customHeight="1">
      <c r="A92" s="32" t="s">
        <v>71</v>
      </c>
      <c r="B92" s="32">
        <v>2024</v>
      </c>
      <c r="C92" s="32" t="s">
        <v>49</v>
      </c>
      <c r="D92" s="32" t="s">
        <v>72</v>
      </c>
      <c r="E92" s="32">
        <v>0.125</v>
      </c>
      <c r="F92" s="32">
        <v>0</v>
      </c>
      <c r="G92" s="32">
        <f>SUM(Table2[[#This Row],[X1 Business Model]:[X2 Operating Model]])/2</f>
        <v>6.25E-2</v>
      </c>
      <c r="H92" s="33">
        <v>0</v>
      </c>
      <c r="I92" s="34">
        <v>0</v>
      </c>
      <c r="J92" s="34">
        <v>0.5</v>
      </c>
      <c r="K92" s="34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</row>
    <row r="93" spans="1:16" s="31" customFormat="1" ht="20.25" customHeight="1">
      <c r="A93" s="36" t="s">
        <v>71</v>
      </c>
      <c r="B93" s="36">
        <v>2025</v>
      </c>
      <c r="C93" s="36" t="s">
        <v>49</v>
      </c>
      <c r="D93" s="36" t="s">
        <v>72</v>
      </c>
      <c r="E93" s="36">
        <v>0.25</v>
      </c>
      <c r="F93" s="36">
        <v>0</v>
      </c>
      <c r="G93" s="36">
        <f>SUM(Table2[[#This Row],[X1 Business Model]:[X2 Operating Model]])/2</f>
        <v>0.125</v>
      </c>
      <c r="H93" s="33">
        <v>0.5</v>
      </c>
      <c r="I93" s="34">
        <v>0</v>
      </c>
      <c r="J93" s="34">
        <v>0.5</v>
      </c>
      <c r="K93" s="34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</row>
    <row r="94" spans="1:16" s="31" customFormat="1" ht="20.25" customHeight="1">
      <c r="A94" s="32" t="s">
        <v>73</v>
      </c>
      <c r="B94" s="32">
        <v>2022</v>
      </c>
      <c r="C94" s="32" t="s">
        <v>74</v>
      </c>
      <c r="D94" s="32" t="s">
        <v>75</v>
      </c>
      <c r="E94" s="32">
        <v>0</v>
      </c>
      <c r="F94" s="32">
        <v>0</v>
      </c>
      <c r="G94" s="32">
        <f>SUM(Table2[[#This Row],[X1 Business Model]:[X2 Operating Model]])/2</f>
        <v>0</v>
      </c>
      <c r="H94" s="33">
        <v>0</v>
      </c>
      <c r="I94" s="34">
        <v>0</v>
      </c>
      <c r="J94" s="34">
        <v>0</v>
      </c>
      <c r="K94" s="34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</row>
    <row r="95" spans="1:16" s="31" customFormat="1" ht="20.25" customHeight="1">
      <c r="A95" s="36" t="s">
        <v>73</v>
      </c>
      <c r="B95" s="36">
        <v>2023</v>
      </c>
      <c r="C95" s="36" t="s">
        <v>74</v>
      </c>
      <c r="D95" s="36" t="s">
        <v>75</v>
      </c>
      <c r="E95" s="36">
        <v>0.125</v>
      </c>
      <c r="F95" s="36">
        <v>0</v>
      </c>
      <c r="G95" s="36">
        <f>SUM(Table2[[#This Row],[X1 Business Model]:[X2 Operating Model]])/2</f>
        <v>6.25E-2</v>
      </c>
      <c r="H95" s="33">
        <v>0</v>
      </c>
      <c r="I95" s="34">
        <v>0.5</v>
      </c>
      <c r="J95" s="34">
        <v>0</v>
      </c>
      <c r="K95" s="34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</row>
    <row r="96" spans="1:16" s="31" customFormat="1" ht="20.25" customHeight="1">
      <c r="A96" s="32" t="s">
        <v>73</v>
      </c>
      <c r="B96" s="32">
        <v>2024</v>
      </c>
      <c r="C96" s="32" t="s">
        <v>74</v>
      </c>
      <c r="D96" s="32" t="s">
        <v>75</v>
      </c>
      <c r="E96" s="32">
        <v>0.375</v>
      </c>
      <c r="F96" s="32">
        <v>0.1</v>
      </c>
      <c r="G96" s="32">
        <f>SUM(Table2[[#This Row],[X1 Business Model]:[X2 Operating Model]])/2</f>
        <v>0.23749999999999999</v>
      </c>
      <c r="H96" s="33">
        <v>0</v>
      </c>
      <c r="I96" s="34">
        <v>0.5</v>
      </c>
      <c r="J96" s="34">
        <v>0.5</v>
      </c>
      <c r="K96" s="34">
        <v>0.5</v>
      </c>
      <c r="L96" s="35">
        <v>0</v>
      </c>
      <c r="M96" s="35">
        <v>0.5</v>
      </c>
      <c r="N96" s="35">
        <v>0</v>
      </c>
      <c r="O96" s="35">
        <v>0</v>
      </c>
      <c r="P96" s="35">
        <v>0</v>
      </c>
    </row>
    <row r="97" spans="1:16" s="31" customFormat="1" ht="20.25" customHeight="1">
      <c r="A97" s="36" t="s">
        <v>73</v>
      </c>
      <c r="B97" s="36">
        <v>2025</v>
      </c>
      <c r="C97" s="36" t="s">
        <v>74</v>
      </c>
      <c r="D97" s="36" t="s">
        <v>75</v>
      </c>
      <c r="E97" s="36">
        <v>0.375</v>
      </c>
      <c r="F97" s="36">
        <v>0.1</v>
      </c>
      <c r="G97" s="36">
        <f>SUM(Table2[[#This Row],[X1 Business Model]:[X2 Operating Model]])/2</f>
        <v>0.23749999999999999</v>
      </c>
      <c r="H97" s="33">
        <v>0</v>
      </c>
      <c r="I97" s="34">
        <v>0.5</v>
      </c>
      <c r="J97" s="34">
        <v>0.5</v>
      </c>
      <c r="K97" s="34">
        <v>0.5</v>
      </c>
      <c r="L97" s="35">
        <v>0</v>
      </c>
      <c r="M97" s="35">
        <v>0.5</v>
      </c>
      <c r="N97" s="35">
        <v>0</v>
      </c>
      <c r="O97" s="35">
        <v>0</v>
      </c>
      <c r="P97" s="35">
        <v>0</v>
      </c>
    </row>
    <row r="98" spans="1:16" s="31" customFormat="1" ht="20.25" customHeight="1">
      <c r="A98" s="32" t="s">
        <v>76</v>
      </c>
      <c r="B98" s="32">
        <v>2022</v>
      </c>
      <c r="C98" s="32" t="s">
        <v>74</v>
      </c>
      <c r="D98" s="32" t="s">
        <v>77</v>
      </c>
      <c r="E98" s="32">
        <v>0.125</v>
      </c>
      <c r="F98" s="32">
        <v>0.1</v>
      </c>
      <c r="G98" s="32">
        <f>SUM(Table2[[#This Row],[X1 Business Model]:[X2 Operating Model]])/2</f>
        <v>0.1125</v>
      </c>
      <c r="H98" s="33">
        <v>0.5</v>
      </c>
      <c r="I98" s="34">
        <v>0</v>
      </c>
      <c r="J98" s="34">
        <v>0</v>
      </c>
      <c r="K98" s="34">
        <v>0</v>
      </c>
      <c r="L98" s="35">
        <v>0.5</v>
      </c>
      <c r="M98" s="35">
        <v>0</v>
      </c>
      <c r="N98" s="35">
        <v>0</v>
      </c>
      <c r="O98" s="35">
        <v>0</v>
      </c>
      <c r="P98" s="35">
        <v>0</v>
      </c>
    </row>
    <row r="99" spans="1:16" s="31" customFormat="1" ht="20.25" customHeight="1">
      <c r="A99" s="36" t="s">
        <v>76</v>
      </c>
      <c r="B99" s="36">
        <v>2023</v>
      </c>
      <c r="C99" s="36" t="s">
        <v>74</v>
      </c>
      <c r="D99" s="36" t="s">
        <v>77</v>
      </c>
      <c r="E99" s="36">
        <v>0.625</v>
      </c>
      <c r="F99" s="36">
        <v>0.4</v>
      </c>
      <c r="G99" s="36">
        <f>SUM(Table2[[#This Row],[X1 Business Model]:[X2 Operating Model]])/2</f>
        <v>0.51249999999999996</v>
      </c>
      <c r="H99" s="33">
        <v>0.5</v>
      </c>
      <c r="I99" s="34">
        <v>0.5</v>
      </c>
      <c r="J99" s="34">
        <v>0.5</v>
      </c>
      <c r="K99" s="34">
        <v>1</v>
      </c>
      <c r="L99" s="35">
        <v>0.5</v>
      </c>
      <c r="M99" s="35">
        <v>0.5</v>
      </c>
      <c r="N99" s="35">
        <v>0.5</v>
      </c>
      <c r="O99" s="35">
        <v>0</v>
      </c>
      <c r="P99" s="35">
        <v>0.5</v>
      </c>
    </row>
    <row r="100" spans="1:16" s="31" customFormat="1" ht="20.25" customHeight="1">
      <c r="A100" s="32" t="s">
        <v>76</v>
      </c>
      <c r="B100" s="32">
        <v>2024</v>
      </c>
      <c r="C100" s="32" t="s">
        <v>74</v>
      </c>
      <c r="D100" s="32" t="s">
        <v>77</v>
      </c>
      <c r="E100" s="32">
        <v>0.75</v>
      </c>
      <c r="F100" s="32">
        <v>0.5</v>
      </c>
      <c r="G100" s="32">
        <f>SUM(Table2[[#This Row],[X1 Business Model]:[X2 Operating Model]])/2</f>
        <v>0.625</v>
      </c>
      <c r="H100" s="33">
        <v>1</v>
      </c>
      <c r="I100" s="34">
        <v>0.5</v>
      </c>
      <c r="J100" s="34">
        <v>0.5</v>
      </c>
      <c r="K100" s="34">
        <v>1</v>
      </c>
      <c r="L100" s="35">
        <v>0.5</v>
      </c>
      <c r="M100" s="35">
        <v>1</v>
      </c>
      <c r="N100" s="35">
        <v>0.5</v>
      </c>
      <c r="O100" s="35">
        <v>0</v>
      </c>
      <c r="P100" s="35">
        <v>0.5</v>
      </c>
    </row>
    <row r="101" spans="1:16" s="31" customFormat="1" ht="20.25" customHeight="1">
      <c r="A101" s="36" t="s">
        <v>76</v>
      </c>
      <c r="B101" s="36">
        <v>2025</v>
      </c>
      <c r="C101" s="36" t="s">
        <v>74</v>
      </c>
      <c r="D101" s="36" t="s">
        <v>77</v>
      </c>
      <c r="E101" s="36">
        <v>0.75</v>
      </c>
      <c r="F101" s="36">
        <v>0.5</v>
      </c>
      <c r="G101" s="36">
        <f>SUM(Table2[[#This Row],[X1 Business Model]:[X2 Operating Model]])/2</f>
        <v>0.625</v>
      </c>
      <c r="H101" s="33">
        <v>1</v>
      </c>
      <c r="I101" s="34">
        <v>0.5</v>
      </c>
      <c r="J101" s="34">
        <v>0.5</v>
      </c>
      <c r="K101" s="34">
        <v>1</v>
      </c>
      <c r="L101" s="35">
        <v>0.5</v>
      </c>
      <c r="M101" s="35">
        <v>1</v>
      </c>
      <c r="N101" s="35">
        <v>0.5</v>
      </c>
      <c r="O101" s="35">
        <v>0</v>
      </c>
      <c r="P101" s="35">
        <v>0.5</v>
      </c>
    </row>
    <row r="102" spans="1:16" s="31" customFormat="1" ht="20.25" customHeight="1">
      <c r="A102" s="32" t="s">
        <v>78</v>
      </c>
      <c r="B102" s="32">
        <v>2022</v>
      </c>
      <c r="C102" s="32" t="s">
        <v>74</v>
      </c>
      <c r="D102" s="32" t="s">
        <v>79</v>
      </c>
      <c r="E102" s="32">
        <v>0</v>
      </c>
      <c r="F102" s="32">
        <v>0</v>
      </c>
      <c r="G102" s="32">
        <f>SUM(Table2[[#This Row],[X1 Business Model]:[X2 Operating Model]])/2</f>
        <v>0</v>
      </c>
      <c r="H102" s="33">
        <v>0</v>
      </c>
      <c r="I102" s="34">
        <v>0</v>
      </c>
      <c r="J102" s="34">
        <v>0</v>
      </c>
      <c r="K102" s="34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</row>
    <row r="103" spans="1:16" s="31" customFormat="1" ht="20.25" customHeight="1">
      <c r="A103" s="36" t="s">
        <v>78</v>
      </c>
      <c r="B103" s="36">
        <v>2023</v>
      </c>
      <c r="C103" s="36" t="s">
        <v>74</v>
      </c>
      <c r="D103" s="36" t="s">
        <v>79</v>
      </c>
      <c r="E103" s="36">
        <v>0.375</v>
      </c>
      <c r="F103" s="36">
        <v>0.1</v>
      </c>
      <c r="G103" s="36">
        <f>SUM(Table2[[#This Row],[X1 Business Model]:[X2 Operating Model]])/2</f>
        <v>0.23749999999999999</v>
      </c>
      <c r="H103" s="33">
        <v>0.5</v>
      </c>
      <c r="I103" s="34">
        <v>0.5</v>
      </c>
      <c r="J103" s="34">
        <v>0</v>
      </c>
      <c r="K103" s="34">
        <v>0.5</v>
      </c>
      <c r="L103" s="35">
        <v>0</v>
      </c>
      <c r="M103" s="35">
        <v>0.5</v>
      </c>
      <c r="N103" s="35">
        <v>0</v>
      </c>
      <c r="O103" s="35">
        <v>0</v>
      </c>
      <c r="P103" s="35">
        <v>0</v>
      </c>
    </row>
    <row r="104" spans="1:16" s="31" customFormat="1" ht="20.25" customHeight="1">
      <c r="A104" s="32" t="s">
        <v>78</v>
      </c>
      <c r="B104" s="32">
        <v>2024</v>
      </c>
      <c r="C104" s="32" t="s">
        <v>74</v>
      </c>
      <c r="D104" s="32" t="s">
        <v>79</v>
      </c>
      <c r="E104" s="32">
        <v>0.625</v>
      </c>
      <c r="F104" s="32">
        <v>0.2</v>
      </c>
      <c r="G104" s="32">
        <f>SUM(Table2[[#This Row],[X1 Business Model]:[X2 Operating Model]])/2</f>
        <v>0.41249999999999998</v>
      </c>
      <c r="H104" s="33">
        <v>1</v>
      </c>
      <c r="I104" s="34">
        <v>0.5</v>
      </c>
      <c r="J104" s="34">
        <v>0.5</v>
      </c>
      <c r="K104" s="34">
        <v>0.5</v>
      </c>
      <c r="L104" s="35">
        <v>0</v>
      </c>
      <c r="M104" s="35">
        <v>0.5</v>
      </c>
      <c r="N104" s="35">
        <v>0.5</v>
      </c>
      <c r="O104" s="35">
        <v>0</v>
      </c>
      <c r="P104" s="35">
        <v>0</v>
      </c>
    </row>
    <row r="105" spans="1:16" s="31" customFormat="1" ht="20.25" customHeight="1">
      <c r="A105" s="36" t="s">
        <v>78</v>
      </c>
      <c r="B105" s="36">
        <v>2025</v>
      </c>
      <c r="C105" s="36" t="s">
        <v>74</v>
      </c>
      <c r="D105" s="36" t="s">
        <v>79</v>
      </c>
      <c r="E105" s="36">
        <v>0.75</v>
      </c>
      <c r="F105" s="36">
        <v>0.2</v>
      </c>
      <c r="G105" s="36">
        <f>SUM(Table2[[#This Row],[X1 Business Model]:[X2 Operating Model]])/2</f>
        <v>0.47499999999999998</v>
      </c>
      <c r="H105" s="33">
        <v>1</v>
      </c>
      <c r="I105" s="34">
        <v>0.5</v>
      </c>
      <c r="J105" s="34">
        <v>0.5</v>
      </c>
      <c r="K105" s="34">
        <v>1</v>
      </c>
      <c r="L105" s="35">
        <v>0</v>
      </c>
      <c r="M105" s="35">
        <v>0.5</v>
      </c>
      <c r="N105" s="35">
        <v>0.5</v>
      </c>
      <c r="O105" s="35">
        <v>0</v>
      </c>
      <c r="P105" s="35">
        <v>0</v>
      </c>
    </row>
    <row r="106" spans="1:16" s="31" customFormat="1" ht="20.25" customHeight="1">
      <c r="A106" s="32" t="s">
        <v>80</v>
      </c>
      <c r="B106" s="32">
        <v>2022</v>
      </c>
      <c r="C106" s="32" t="s">
        <v>74</v>
      </c>
      <c r="D106" s="32" t="s">
        <v>81</v>
      </c>
      <c r="E106" s="32">
        <v>0</v>
      </c>
      <c r="F106" s="32">
        <v>0</v>
      </c>
      <c r="G106" s="32">
        <f>SUM(Table2[[#This Row],[X1 Business Model]:[X2 Operating Model]])/2</f>
        <v>0</v>
      </c>
      <c r="H106" s="33">
        <v>0</v>
      </c>
      <c r="I106" s="34">
        <v>0</v>
      </c>
      <c r="J106" s="34">
        <v>0</v>
      </c>
      <c r="K106" s="34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</row>
    <row r="107" spans="1:16" s="31" customFormat="1" ht="20.25" customHeight="1">
      <c r="A107" s="36" t="s">
        <v>80</v>
      </c>
      <c r="B107" s="36">
        <v>2023</v>
      </c>
      <c r="C107" s="36" t="s">
        <v>74</v>
      </c>
      <c r="D107" s="36" t="s">
        <v>81</v>
      </c>
      <c r="E107" s="36">
        <v>0.375</v>
      </c>
      <c r="F107" s="36">
        <v>0.2</v>
      </c>
      <c r="G107" s="36">
        <f>SUM(Table2[[#This Row],[X1 Business Model]:[X2 Operating Model]])/2</f>
        <v>0.28749999999999998</v>
      </c>
      <c r="H107" s="33">
        <v>0.5</v>
      </c>
      <c r="I107" s="34">
        <v>0.5</v>
      </c>
      <c r="J107" s="34">
        <v>0</v>
      </c>
      <c r="K107" s="34">
        <v>0.5</v>
      </c>
      <c r="L107" s="35">
        <v>0</v>
      </c>
      <c r="M107" s="35">
        <v>0.5</v>
      </c>
      <c r="N107" s="35">
        <v>0.5</v>
      </c>
      <c r="O107" s="35">
        <v>0</v>
      </c>
      <c r="P107" s="35">
        <v>0</v>
      </c>
    </row>
    <row r="108" spans="1:16" s="31" customFormat="1" ht="20.25" customHeight="1">
      <c r="A108" s="32" t="s">
        <v>80</v>
      </c>
      <c r="B108" s="32">
        <v>2024</v>
      </c>
      <c r="C108" s="32" t="s">
        <v>74</v>
      </c>
      <c r="D108" s="32" t="s">
        <v>81</v>
      </c>
      <c r="E108" s="32">
        <v>0.375</v>
      </c>
      <c r="F108" s="32">
        <v>0.2</v>
      </c>
      <c r="G108" s="32">
        <f>SUM(Table2[[#This Row],[X1 Business Model]:[X2 Operating Model]])/2</f>
        <v>0.28749999999999998</v>
      </c>
      <c r="H108" s="33">
        <v>0.5</v>
      </c>
      <c r="I108" s="34">
        <v>0.5</v>
      </c>
      <c r="J108" s="34">
        <v>0</v>
      </c>
      <c r="K108" s="34">
        <v>0.5</v>
      </c>
      <c r="L108" s="35">
        <v>0</v>
      </c>
      <c r="M108" s="35">
        <v>0.5</v>
      </c>
      <c r="N108" s="35">
        <v>0.5</v>
      </c>
      <c r="O108" s="35">
        <v>0</v>
      </c>
      <c r="P108" s="35">
        <v>0</v>
      </c>
    </row>
    <row r="109" spans="1:16" s="31" customFormat="1" ht="20.25" customHeight="1">
      <c r="A109" s="36" t="s">
        <v>80</v>
      </c>
      <c r="B109" s="36">
        <v>2025</v>
      </c>
      <c r="C109" s="36" t="s">
        <v>74</v>
      </c>
      <c r="D109" s="36" t="s">
        <v>81</v>
      </c>
      <c r="E109" s="36">
        <v>0.375</v>
      </c>
      <c r="F109" s="36">
        <v>0.2</v>
      </c>
      <c r="G109" s="36">
        <f>SUM(Table2[[#This Row],[X1 Business Model]:[X2 Operating Model]])/2</f>
        <v>0.28749999999999998</v>
      </c>
      <c r="H109" s="33">
        <v>0.5</v>
      </c>
      <c r="I109" s="34">
        <v>0.5</v>
      </c>
      <c r="J109" s="34">
        <v>0</v>
      </c>
      <c r="K109" s="34">
        <v>0.5</v>
      </c>
      <c r="L109" s="35">
        <v>0</v>
      </c>
      <c r="M109" s="35">
        <v>0.5</v>
      </c>
      <c r="N109" s="35">
        <v>0.5</v>
      </c>
      <c r="O109" s="35">
        <v>0</v>
      </c>
      <c r="P109" s="35">
        <v>0</v>
      </c>
    </row>
    <row r="110" spans="1:16" s="31" customFormat="1" ht="20.25" customHeight="1">
      <c r="A110" s="32" t="s">
        <v>82</v>
      </c>
      <c r="B110" s="32">
        <v>2022</v>
      </c>
      <c r="C110" s="32" t="s">
        <v>74</v>
      </c>
      <c r="D110" s="32" t="s">
        <v>34</v>
      </c>
      <c r="E110" s="32">
        <v>0.375</v>
      </c>
      <c r="F110" s="32">
        <v>0.1</v>
      </c>
      <c r="G110" s="32">
        <f>SUM(Table2[[#This Row],[X1 Business Model]:[X2 Operating Model]])/2</f>
        <v>0.23749999999999999</v>
      </c>
      <c r="H110" s="33">
        <v>0.5</v>
      </c>
      <c r="I110" s="34">
        <v>0.5</v>
      </c>
      <c r="J110" s="34">
        <v>0</v>
      </c>
      <c r="K110" s="34">
        <v>0.5</v>
      </c>
      <c r="L110" s="35">
        <v>0</v>
      </c>
      <c r="M110" s="35">
        <v>0</v>
      </c>
      <c r="N110" s="35">
        <v>0.5</v>
      </c>
      <c r="O110" s="35">
        <v>0</v>
      </c>
      <c r="P110" s="35">
        <v>0</v>
      </c>
    </row>
    <row r="111" spans="1:16" s="31" customFormat="1" ht="20.25" customHeight="1">
      <c r="A111" s="36" t="s">
        <v>82</v>
      </c>
      <c r="B111" s="36">
        <v>2023</v>
      </c>
      <c r="C111" s="36" t="s">
        <v>74</v>
      </c>
      <c r="D111" s="36" t="s">
        <v>34</v>
      </c>
      <c r="E111" s="36">
        <v>0.5</v>
      </c>
      <c r="F111" s="36">
        <v>0.1</v>
      </c>
      <c r="G111" s="36">
        <f>SUM(Table2[[#This Row],[X1 Business Model]:[X2 Operating Model]])/2</f>
        <v>0.3</v>
      </c>
      <c r="H111" s="33">
        <v>0.5</v>
      </c>
      <c r="I111" s="34">
        <v>0.5</v>
      </c>
      <c r="J111" s="34">
        <v>0.5</v>
      </c>
      <c r="K111" s="34">
        <v>0.5</v>
      </c>
      <c r="L111" s="35">
        <v>0</v>
      </c>
      <c r="M111" s="35">
        <v>0</v>
      </c>
      <c r="N111" s="35">
        <v>0.5</v>
      </c>
      <c r="O111" s="35">
        <v>0</v>
      </c>
      <c r="P111" s="35">
        <v>0</v>
      </c>
    </row>
    <row r="112" spans="1:16" s="31" customFormat="1" ht="20.25" customHeight="1">
      <c r="A112" s="32" t="s">
        <v>82</v>
      </c>
      <c r="B112" s="32">
        <v>2024</v>
      </c>
      <c r="C112" s="32" t="s">
        <v>74</v>
      </c>
      <c r="D112" s="32" t="s">
        <v>34</v>
      </c>
      <c r="E112" s="32">
        <v>0.5</v>
      </c>
      <c r="F112" s="32">
        <v>0.2</v>
      </c>
      <c r="G112" s="32">
        <f>SUM(Table2[[#This Row],[X1 Business Model]:[X2 Operating Model]])/2</f>
        <v>0.35</v>
      </c>
      <c r="H112" s="33">
        <v>0.5</v>
      </c>
      <c r="I112" s="34">
        <v>0.5</v>
      </c>
      <c r="J112" s="34">
        <v>0.5</v>
      </c>
      <c r="K112" s="34">
        <v>0.5</v>
      </c>
      <c r="L112" s="35">
        <v>0</v>
      </c>
      <c r="M112" s="35">
        <v>0</v>
      </c>
      <c r="N112" s="35">
        <v>0.5</v>
      </c>
      <c r="O112" s="35">
        <v>0.5</v>
      </c>
      <c r="P112" s="35">
        <v>0</v>
      </c>
    </row>
    <row r="113" spans="1:16" s="31" customFormat="1" ht="20.25" customHeight="1">
      <c r="A113" s="36" t="s">
        <v>82</v>
      </c>
      <c r="B113" s="36">
        <v>2025</v>
      </c>
      <c r="C113" s="36" t="s">
        <v>74</v>
      </c>
      <c r="D113" s="36" t="s">
        <v>34</v>
      </c>
      <c r="E113" s="36">
        <v>0.5</v>
      </c>
      <c r="F113" s="36">
        <v>0.2</v>
      </c>
      <c r="G113" s="36">
        <f>SUM(Table2[[#This Row],[X1 Business Model]:[X2 Operating Model]])/2</f>
        <v>0.35</v>
      </c>
      <c r="H113" s="33">
        <v>0.5</v>
      </c>
      <c r="I113" s="34">
        <v>0.5</v>
      </c>
      <c r="J113" s="34">
        <v>0.5</v>
      </c>
      <c r="K113" s="34">
        <v>0.5</v>
      </c>
      <c r="L113" s="35">
        <v>0</v>
      </c>
      <c r="M113" s="35">
        <v>0</v>
      </c>
      <c r="N113" s="35">
        <v>0.5</v>
      </c>
      <c r="O113" s="35">
        <v>0.5</v>
      </c>
      <c r="P113" s="35">
        <v>0</v>
      </c>
    </row>
    <row r="114" spans="1:16" s="31" customFormat="1" ht="20.25" customHeight="1">
      <c r="A114" s="32" t="s">
        <v>83</v>
      </c>
      <c r="B114" s="32">
        <v>2022</v>
      </c>
      <c r="C114" s="32" t="s">
        <v>74</v>
      </c>
      <c r="D114" s="32" t="s">
        <v>84</v>
      </c>
      <c r="E114" s="32">
        <v>0</v>
      </c>
      <c r="F114" s="32">
        <v>0.3</v>
      </c>
      <c r="G114" s="32">
        <f>SUM(Table2[[#This Row],[X1 Business Model]:[X2 Operating Model]])/2</f>
        <v>0.15</v>
      </c>
      <c r="H114" s="33">
        <v>0</v>
      </c>
      <c r="I114" s="34">
        <v>0</v>
      </c>
      <c r="J114" s="34">
        <v>0</v>
      </c>
      <c r="K114" s="34">
        <v>0</v>
      </c>
      <c r="L114" s="35">
        <v>0.5</v>
      </c>
      <c r="M114" s="35">
        <v>0</v>
      </c>
      <c r="N114" s="35">
        <v>0.5</v>
      </c>
      <c r="O114" s="35">
        <v>0.5</v>
      </c>
      <c r="P114" s="35">
        <v>0</v>
      </c>
    </row>
    <row r="115" spans="1:16" s="31" customFormat="1" ht="20.25" customHeight="1">
      <c r="A115" s="36" t="s">
        <v>83</v>
      </c>
      <c r="B115" s="36">
        <v>2023</v>
      </c>
      <c r="C115" s="36" t="s">
        <v>74</v>
      </c>
      <c r="D115" s="36" t="s">
        <v>84</v>
      </c>
      <c r="E115" s="36">
        <v>0</v>
      </c>
      <c r="F115" s="36">
        <v>0.3</v>
      </c>
      <c r="G115" s="36">
        <f>SUM(Table2[[#This Row],[X1 Business Model]:[X2 Operating Model]])/2</f>
        <v>0.15</v>
      </c>
      <c r="H115" s="33">
        <v>0</v>
      </c>
      <c r="I115" s="34">
        <v>0</v>
      </c>
      <c r="J115" s="34">
        <v>0</v>
      </c>
      <c r="K115" s="34">
        <v>0</v>
      </c>
      <c r="L115" s="35">
        <v>0.5</v>
      </c>
      <c r="M115" s="35">
        <v>0</v>
      </c>
      <c r="N115" s="35">
        <v>0.5</v>
      </c>
      <c r="O115" s="35">
        <v>0.5</v>
      </c>
      <c r="P115" s="35">
        <v>0</v>
      </c>
    </row>
    <row r="116" spans="1:16" s="31" customFormat="1" ht="20.25" customHeight="1">
      <c r="A116" s="32" t="s">
        <v>83</v>
      </c>
      <c r="B116" s="32">
        <v>2024</v>
      </c>
      <c r="C116" s="32" t="s">
        <v>74</v>
      </c>
      <c r="D116" s="32" t="s">
        <v>84</v>
      </c>
      <c r="E116" s="32">
        <v>0</v>
      </c>
      <c r="F116" s="32">
        <v>0.3</v>
      </c>
      <c r="G116" s="32">
        <f>SUM(Table2[[#This Row],[X1 Business Model]:[X2 Operating Model]])/2</f>
        <v>0.15</v>
      </c>
      <c r="H116" s="33">
        <v>0</v>
      </c>
      <c r="I116" s="34">
        <v>0</v>
      </c>
      <c r="J116" s="34">
        <v>0</v>
      </c>
      <c r="K116" s="34">
        <v>0</v>
      </c>
      <c r="L116" s="35">
        <v>0.5</v>
      </c>
      <c r="M116" s="35">
        <v>0</v>
      </c>
      <c r="N116" s="35">
        <v>0.5</v>
      </c>
      <c r="O116" s="35">
        <v>0.5</v>
      </c>
      <c r="P116" s="35">
        <v>0</v>
      </c>
    </row>
    <row r="117" spans="1:16" s="31" customFormat="1" ht="20.25" customHeight="1">
      <c r="A117" s="36" t="s">
        <v>83</v>
      </c>
      <c r="B117" s="36">
        <v>2025</v>
      </c>
      <c r="C117" s="36" t="s">
        <v>74</v>
      </c>
      <c r="D117" s="36" t="s">
        <v>84</v>
      </c>
      <c r="E117" s="36">
        <v>0.5</v>
      </c>
      <c r="F117" s="36">
        <v>0.3</v>
      </c>
      <c r="G117" s="36">
        <f>SUM(Table2[[#This Row],[X1 Business Model]:[X2 Operating Model]])/2</f>
        <v>0.4</v>
      </c>
      <c r="H117" s="33">
        <v>0.5</v>
      </c>
      <c r="I117" s="34">
        <v>0.5</v>
      </c>
      <c r="J117" s="34">
        <v>0.5</v>
      </c>
      <c r="K117" s="34">
        <v>0.5</v>
      </c>
      <c r="L117" s="35">
        <v>0.5</v>
      </c>
      <c r="M117" s="35">
        <v>0</v>
      </c>
      <c r="N117" s="35">
        <v>0.5</v>
      </c>
      <c r="O117" s="35">
        <v>0.5</v>
      </c>
      <c r="P117" s="35">
        <v>0</v>
      </c>
    </row>
    <row r="118" spans="1:16" s="31" customFormat="1" ht="20.25" customHeight="1">
      <c r="A118" s="32" t="s">
        <v>85</v>
      </c>
      <c r="B118" s="32">
        <v>2022</v>
      </c>
      <c r="C118" s="32" t="s">
        <v>74</v>
      </c>
      <c r="D118" s="32" t="s">
        <v>60</v>
      </c>
      <c r="E118" s="32">
        <v>0</v>
      </c>
      <c r="F118" s="32">
        <v>0</v>
      </c>
      <c r="G118" s="32">
        <f>SUM(Table2[[#This Row],[X1 Business Model]:[X2 Operating Model]])/2</f>
        <v>0</v>
      </c>
      <c r="H118" s="33">
        <v>0</v>
      </c>
      <c r="I118" s="34">
        <v>0</v>
      </c>
      <c r="J118" s="34">
        <v>0</v>
      </c>
      <c r="K118" s="34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</row>
    <row r="119" spans="1:16" s="31" customFormat="1" ht="20.25" customHeight="1">
      <c r="A119" s="36" t="s">
        <v>85</v>
      </c>
      <c r="B119" s="36">
        <v>2023</v>
      </c>
      <c r="C119" s="36" t="s">
        <v>74</v>
      </c>
      <c r="D119" s="36" t="s">
        <v>60</v>
      </c>
      <c r="E119" s="36">
        <v>0</v>
      </c>
      <c r="F119" s="36">
        <v>0</v>
      </c>
      <c r="G119" s="36">
        <f>SUM(Table2[[#This Row],[X1 Business Model]:[X2 Operating Model]])/2</f>
        <v>0</v>
      </c>
      <c r="H119" s="33">
        <v>0</v>
      </c>
      <c r="I119" s="34">
        <v>0</v>
      </c>
      <c r="J119" s="34">
        <v>0</v>
      </c>
      <c r="K119" s="34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</row>
    <row r="120" spans="1:16" s="31" customFormat="1" ht="20.25" customHeight="1">
      <c r="A120" s="32" t="s">
        <v>85</v>
      </c>
      <c r="B120" s="32">
        <v>2024</v>
      </c>
      <c r="C120" s="32" t="s">
        <v>74</v>
      </c>
      <c r="D120" s="32" t="s">
        <v>60</v>
      </c>
      <c r="E120" s="32">
        <v>0</v>
      </c>
      <c r="F120" s="32">
        <v>0</v>
      </c>
      <c r="G120" s="32">
        <f>SUM(Table2[[#This Row],[X1 Business Model]:[X2 Operating Model]])/2</f>
        <v>0</v>
      </c>
      <c r="H120" s="33">
        <v>0</v>
      </c>
      <c r="I120" s="34">
        <v>0</v>
      </c>
      <c r="J120" s="34">
        <v>0</v>
      </c>
      <c r="K120" s="34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</row>
    <row r="121" spans="1:16" s="31" customFormat="1" ht="20.25" customHeight="1">
      <c r="A121" s="36" t="s">
        <v>85</v>
      </c>
      <c r="B121" s="36">
        <v>2025</v>
      </c>
      <c r="C121" s="36" t="s">
        <v>74</v>
      </c>
      <c r="D121" s="36" t="s">
        <v>60</v>
      </c>
      <c r="E121" s="36">
        <v>0.25</v>
      </c>
      <c r="F121" s="36">
        <v>0.3</v>
      </c>
      <c r="G121" s="36">
        <f>SUM(Table2[[#This Row],[X1 Business Model]:[X2 Operating Model]])/2</f>
        <v>0.27500000000000002</v>
      </c>
      <c r="H121" s="33">
        <v>0.5</v>
      </c>
      <c r="I121" s="34">
        <v>0</v>
      </c>
      <c r="J121" s="34">
        <v>0</v>
      </c>
      <c r="K121" s="34">
        <v>0.5</v>
      </c>
      <c r="L121" s="35">
        <v>0.5</v>
      </c>
      <c r="M121" s="35">
        <v>0.5</v>
      </c>
      <c r="N121" s="35">
        <v>0.5</v>
      </c>
      <c r="O121" s="35">
        <v>0</v>
      </c>
      <c r="P121" s="3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 Şafak</dc:creator>
  <cp:keywords/>
  <dc:description/>
  <cp:lastModifiedBy>Lara Şafak</cp:lastModifiedBy>
  <cp:revision/>
  <dcterms:created xsi:type="dcterms:W3CDTF">2026-08-02T19:48:33Z</dcterms:created>
  <dcterms:modified xsi:type="dcterms:W3CDTF">2026-08-06T14:45:27Z</dcterms:modified>
  <cp:category/>
  <cp:contentStatus/>
</cp:coreProperties>
</file>